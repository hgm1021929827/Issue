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yajia.sharepoint.com/sites/msteams_908e03/Shared Documents/中華資安國際股份有限公司/P-20260108-1497 104-中華資安-UOFX客製/"/>
    </mc:Choice>
  </mc:AlternateContent>
  <xr:revisionPtr revIDLastSave="0" documentId="8_{195D7722-09A9-44C0-B1E4-3EA38431A4A3}" xr6:coauthVersionLast="47" xr6:coauthVersionMax="47" xr10:uidLastSave="{00000000-0000-0000-0000-000000000000}"/>
  <bookViews>
    <workbookView xWindow="-28920" yWindow="-120" windowWidth="29040" windowHeight="15720" tabRatio="662" firstSheet="2" activeTab="2" xr2:uid="{99DE6C2C-81D0-4C6D-9B2C-2DA2E0B471F4}"/>
  </bookViews>
  <sheets>
    <sheet name="查核點" sheetId="12" r:id="rId1"/>
    <sheet name="工作項目" sheetId="13" r:id="rId2"/>
    <sheet name="議題單" sheetId="5" r:id="rId3"/>
    <sheet name="議題截圖" sheetId="15" r:id="rId4"/>
    <sheet name="CheckList" sheetId="11" r:id="rId5"/>
    <sheet name="工作項目(給)" sheetId="10" r:id="rId6"/>
    <sheet name="表單進度" sheetId="14" r:id="rId7"/>
  </sheets>
  <externalReferences>
    <externalReference r:id="rId8"/>
  </externalReferences>
  <definedNames>
    <definedName name="skip_days">[1]假日補班設定!$B$5:$B$999+[1]假日補班設定!$D$5:$D$999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0" i="13" l="1"/>
  <c r="A158" i="13" l="1"/>
  <c r="A159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56" i="13"/>
  <c r="A157" i="13"/>
  <c r="A56" i="13"/>
  <c r="A55" i="13"/>
  <c r="A122" i="13"/>
  <c r="A73" i="13"/>
  <c r="D62" i="13"/>
  <c r="A121" i="13"/>
  <c r="A118" i="13"/>
  <c r="A120" i="13"/>
  <c r="D106" i="13"/>
  <c r="D91" i="13"/>
  <c r="D76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49" i="13"/>
  <c r="A183" i="13" l="1"/>
  <c r="A182" i="13"/>
  <c r="A181" i="13"/>
  <c r="A180" i="13"/>
  <c r="A179" i="13"/>
  <c r="A178" i="13"/>
  <c r="A177" i="13"/>
  <c r="A176" i="13"/>
  <c r="A175" i="13"/>
  <c r="A174" i="13"/>
  <c r="A173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19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D75" i="13"/>
  <c r="A75" i="13"/>
  <c r="A74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4" i="13"/>
  <c r="A53" i="13"/>
  <c r="A52" i="13"/>
  <c r="A51" i="13"/>
  <c r="A50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D35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D5" i="13"/>
  <c r="A5" i="13"/>
  <c r="A4" i="13"/>
  <c r="A3" i="13"/>
  <c r="A2" i="13"/>
  <c r="A146" i="10"/>
  <c r="A141" i="10"/>
  <c r="A142" i="10"/>
  <c r="A143" i="10"/>
  <c r="A138" i="10"/>
  <c r="A135" i="10"/>
  <c r="A128" i="10"/>
  <c r="A2" i="5"/>
  <c r="H2" i="5"/>
  <c r="A3" i="5"/>
  <c r="H3" i="5"/>
  <c r="A5" i="5"/>
  <c r="A6" i="5"/>
  <c r="A7" i="5"/>
  <c r="A8" i="5"/>
  <c r="A9" i="5"/>
  <c r="A10" i="5"/>
  <c r="A11" i="5"/>
  <c r="A12" i="5"/>
  <c r="A13" i="5"/>
  <c r="A14" i="5"/>
  <c r="A4" i="5"/>
  <c r="A15" i="5"/>
  <c r="A16" i="5"/>
  <c r="A17" i="5"/>
  <c r="A18" i="5"/>
  <c r="A19" i="5"/>
  <c r="A20" i="5"/>
  <c r="A126" i="10"/>
  <c r="A127" i="10"/>
  <c r="A122" i="10"/>
  <c r="A129" i="10"/>
  <c r="A125" i="10"/>
  <c r="A123" i="10"/>
  <c r="A120" i="10"/>
  <c r="A148" i="10"/>
  <c r="A149" i="10"/>
  <c r="A150" i="10"/>
  <c r="A151" i="10"/>
  <c r="A152" i="10"/>
  <c r="A153" i="10"/>
  <c r="A93" i="10"/>
  <c r="A89" i="10"/>
  <c r="A90" i="10"/>
  <c r="A91" i="10"/>
  <c r="A92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46" i="10"/>
  <c r="A47" i="10"/>
  <c r="A48" i="10"/>
  <c r="A49" i="10"/>
  <c r="A50" i="10"/>
  <c r="A37" i="10"/>
  <c r="A28" i="10"/>
  <c r="A29" i="10"/>
  <c r="A117" i="10"/>
  <c r="A106" i="10"/>
  <c r="A107" i="10"/>
  <c r="A108" i="10"/>
  <c r="A109" i="10"/>
  <c r="A110" i="10"/>
  <c r="A111" i="10"/>
  <c r="A112" i="10"/>
  <c r="A113" i="10"/>
  <c r="A114" i="10"/>
  <c r="A134" i="10"/>
  <c r="A136" i="10"/>
  <c r="A137" i="10"/>
  <c r="A139" i="10"/>
  <c r="A133" i="10"/>
  <c r="A140" i="10"/>
  <c r="A144" i="10"/>
  <c r="A145" i="10"/>
  <c r="A147" i="10"/>
  <c r="A131" i="10"/>
  <c r="A74" i="10"/>
  <c r="A88" i="10"/>
  <c r="A87" i="10"/>
  <c r="A19" i="10"/>
  <c r="A31" i="10"/>
  <c r="A32" i="10"/>
  <c r="A33" i="10"/>
  <c r="A17" i="10"/>
  <c r="A18" i="10"/>
  <c r="A20" i="10"/>
  <c r="A13" i="10"/>
  <c r="A14" i="10"/>
  <c r="A15" i="10"/>
  <c r="A16" i="10"/>
  <c r="A115" i="10"/>
  <c r="A116" i="10"/>
  <c r="A119" i="10"/>
  <c r="A121" i="10"/>
  <c r="A124" i="10"/>
  <c r="A57" i="10"/>
  <c r="A58" i="10"/>
  <c r="A59" i="10"/>
  <c r="A60" i="10"/>
  <c r="A72" i="10"/>
  <c r="A63" i="10"/>
  <c r="A65" i="10"/>
  <c r="A67" i="10"/>
  <c r="A69" i="10"/>
  <c r="A71" i="10"/>
  <c r="A27" i="10"/>
  <c r="A25" i="10"/>
  <c r="A23" i="10"/>
  <c r="A62" i="10"/>
  <c r="A64" i="10"/>
  <c r="A66" i="10"/>
  <c r="A68" i="10"/>
  <c r="A70" i="10"/>
  <c r="A130" i="10" l="1"/>
  <c r="A79" i="10"/>
  <c r="A80" i="10"/>
  <c r="A81" i="10"/>
  <c r="A82" i="10"/>
  <c r="A83" i="10"/>
  <c r="A84" i="10"/>
  <c r="A12" i="10"/>
  <c r="A10" i="10"/>
  <c r="A45" i="10"/>
  <c r="A26" i="10"/>
  <c r="A22" i="10"/>
  <c r="A24" i="10"/>
  <c r="A9" i="10"/>
  <c r="A11" i="10"/>
  <c r="D73" i="10"/>
  <c r="D35" i="10"/>
  <c r="A61" i="10"/>
  <c r="A36" i="10"/>
  <c r="A56" i="10"/>
  <c r="A73" i="10"/>
  <c r="A54" i="10"/>
  <c r="A55" i="10"/>
  <c r="A51" i="10"/>
  <c r="A52" i="10"/>
  <c r="A53" i="10"/>
  <c r="A85" i="10"/>
  <c r="A86" i="10"/>
  <c r="A42" i="10"/>
  <c r="A41" i="10"/>
  <c r="A78" i="10"/>
  <c r="A132" i="10"/>
  <c r="A118" i="10"/>
  <c r="A38" i="10"/>
  <c r="A4" i="10"/>
  <c r="A3" i="10"/>
  <c r="A157" i="10"/>
  <c r="A158" i="10"/>
  <c r="A5" i="10"/>
  <c r="A6" i="10"/>
  <c r="A7" i="10"/>
  <c r="A8" i="10"/>
  <c r="A21" i="10"/>
  <c r="A30" i="10"/>
  <c r="A34" i="10"/>
  <c r="A35" i="10"/>
  <c r="A39" i="10"/>
  <c r="A40" i="10"/>
  <c r="A43" i="10"/>
  <c r="A44" i="10"/>
  <c r="A75" i="10"/>
  <c r="A76" i="10"/>
  <c r="A77" i="10"/>
  <c r="A154" i="10"/>
  <c r="A155" i="10"/>
  <c r="A156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2" i="10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A8" i="11"/>
  <c r="A7" i="11"/>
  <c r="A6" i="11"/>
  <c r="A5" i="11"/>
  <c r="A4" i="11"/>
  <c r="A3" i="11"/>
  <c r="H4" i="5"/>
  <c r="H6" i="5"/>
  <c r="D5" i="10" l="1"/>
  <c r="A9" i="11"/>
  <c r="A10" i="11"/>
  <c r="A11" i="11"/>
  <c r="A12" i="11"/>
  <c r="A13" i="11"/>
  <c r="A14" i="11"/>
  <c r="A15" i="11"/>
  <c r="A16" i="11"/>
  <c r="A17" i="11"/>
  <c r="A18" i="11"/>
  <c r="A19" i="11"/>
  <c r="H5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</calcChain>
</file>

<file path=xl/sharedStrings.xml><?xml version="1.0" encoding="utf-8"?>
<sst xmlns="http://schemas.openxmlformats.org/spreadsheetml/2006/main" count="1265" uniqueCount="554">
  <si>
    <t>項次</t>
    <phoneticPr fontId="1" type="noConversion"/>
  </si>
  <si>
    <t>項目</t>
    <phoneticPr fontId="1" type="noConversion"/>
  </si>
  <si>
    <t>開始時間</t>
    <phoneticPr fontId="1" type="noConversion"/>
  </si>
  <si>
    <t>結束時間</t>
    <phoneticPr fontId="1" type="noConversion"/>
  </si>
  <si>
    <t>實際完成日</t>
  </si>
  <si>
    <t>狀態(如期or延遲)</t>
    <phoneticPr fontId="1" type="noConversion"/>
  </si>
  <si>
    <t>備註</t>
    <phoneticPr fontId="1" type="noConversion"/>
  </si>
  <si>
    <t>佐證資料</t>
  </si>
  <si>
    <t>啟動會議</t>
    <phoneticPr fontId="9" type="noConversion"/>
  </si>
  <si>
    <r>
      <t>1.</t>
    </r>
    <r>
      <rPr>
        <sz val="14"/>
        <rFont val="細明體"/>
        <family val="2"/>
        <charset val="136"/>
      </rPr>
      <t>會議簡報</t>
    </r>
    <r>
      <rPr>
        <sz val="14"/>
        <rFont val="Calibri"/>
        <family val="2"/>
      </rPr>
      <t xml:space="preserve">
2.</t>
    </r>
    <r>
      <rPr>
        <sz val="14"/>
        <rFont val="細明體"/>
        <family val="2"/>
        <charset val="136"/>
      </rPr>
      <t xml:space="preserve">工作計劃書
</t>
    </r>
    <r>
      <rPr>
        <sz val="14"/>
        <rFont val="Calibri"/>
        <family val="2"/>
      </rPr>
      <t>3.</t>
    </r>
    <r>
      <rPr>
        <sz val="14"/>
        <rFont val="細明體"/>
        <family val="2"/>
        <charset val="136"/>
      </rPr>
      <t>保密切結書</t>
    </r>
    <r>
      <rPr>
        <sz val="14"/>
        <rFont val="Calibri"/>
        <family val="2"/>
      </rPr>
      <t xml:space="preserve">
4.</t>
    </r>
    <r>
      <rPr>
        <sz val="14"/>
        <rFont val="細明體"/>
        <family val="2"/>
        <charset val="136"/>
      </rPr>
      <t>第三方資安檢測無中高風險證明</t>
    </r>
    <phoneticPr fontId="1" type="noConversion"/>
  </si>
  <si>
    <t>第一階段-規格階段</t>
    <phoneticPr fontId="9" type="noConversion"/>
  </si>
  <si>
    <t>第二階段上線</t>
    <phoneticPr fontId="9" type="noConversion"/>
  </si>
  <si>
    <r>
      <rPr>
        <b/>
        <sz val="14"/>
        <rFont val="Calibri"/>
        <family val="2"/>
      </rPr>
      <t>1.</t>
    </r>
    <r>
      <rPr>
        <b/>
        <sz val="14"/>
        <rFont val="細明體"/>
        <family val="2"/>
        <charset val="136"/>
      </rPr>
      <t>系統上線，包含所有企業流程管理平台功能</t>
    </r>
    <r>
      <rPr>
        <b/>
        <sz val="14"/>
        <rFont val="Calibri"/>
        <family val="2"/>
      </rPr>
      <t xml:space="preserve">
2.</t>
    </r>
    <r>
      <rPr>
        <b/>
        <sz val="14"/>
        <rFont val="細明體"/>
        <family val="2"/>
        <charset val="136"/>
      </rPr>
      <t>整合完成本公司現有</t>
    </r>
    <r>
      <rPr>
        <b/>
        <sz val="14"/>
        <rFont val="Calibri"/>
        <family val="2"/>
      </rPr>
      <t xml:space="preserve"> Azure Entra ID &amp; SSO</t>
    </r>
    <r>
      <rPr>
        <b/>
        <sz val="14"/>
        <rFont val="細明體"/>
        <family val="2"/>
        <charset val="136"/>
      </rPr>
      <t>、人資系統</t>
    </r>
    <r>
      <rPr>
        <b/>
        <sz val="14"/>
        <rFont val="Calibri"/>
        <family val="2"/>
      </rPr>
      <t xml:space="preserve">
3.</t>
    </r>
    <r>
      <rPr>
        <b/>
        <sz val="14"/>
        <rFont val="細明體"/>
        <family val="2"/>
        <charset val="136"/>
      </rPr>
      <t>整合完成本公司現有</t>
    </r>
    <r>
      <rPr>
        <b/>
        <sz val="14"/>
        <rFont val="Calibri"/>
        <family val="2"/>
      </rPr>
      <t>NetSuite ERP SaaS</t>
    </r>
    <r>
      <rPr>
        <b/>
        <sz val="14"/>
        <rFont val="細明體"/>
        <family val="2"/>
        <charset val="136"/>
      </rPr>
      <t>系統、第三方檔案保存系統</t>
    </r>
    <r>
      <rPr>
        <b/>
        <sz val="14"/>
        <rFont val="Calibri"/>
        <family val="2"/>
      </rPr>
      <t>SharePoint</t>
    </r>
    <r>
      <rPr>
        <b/>
        <sz val="14"/>
        <rFont val="細明體"/>
        <family val="2"/>
        <charset val="136"/>
      </rPr>
      <t>介接</t>
    </r>
    <r>
      <rPr>
        <b/>
        <sz val="14"/>
        <rFont val="Calibri"/>
        <family val="2"/>
      </rPr>
      <t xml:space="preserve">
4.</t>
    </r>
    <r>
      <rPr>
        <b/>
        <sz val="14"/>
        <rFont val="細明體"/>
        <family val="2"/>
        <charset val="136"/>
      </rPr>
      <t>完成</t>
    </r>
    <r>
      <rPr>
        <b/>
        <sz val="14"/>
        <rFont val="Calibri"/>
        <family val="2"/>
      </rPr>
      <t>5</t>
    </r>
    <r>
      <rPr>
        <b/>
        <sz val="14"/>
        <rFont val="細明體"/>
        <family val="2"/>
        <charset val="136"/>
      </rPr>
      <t>個表單、流程開發及上線</t>
    </r>
    <phoneticPr fontId="1" type="noConversion"/>
  </si>
  <si>
    <t>第三階段技轉及上線</t>
    <phoneticPr fontId="9" type="noConversion"/>
  </si>
  <si>
    <r>
      <t>1.</t>
    </r>
    <r>
      <rPr>
        <b/>
        <sz val="14"/>
        <rFont val="細明體"/>
        <family val="2"/>
        <charset val="136"/>
      </rPr>
      <t>完成</t>
    </r>
    <r>
      <rPr>
        <b/>
        <sz val="14"/>
        <rFont val="Calibri"/>
        <family val="2"/>
      </rPr>
      <t>30</t>
    </r>
    <r>
      <rPr>
        <b/>
        <sz val="14"/>
        <rFont val="細明體"/>
        <family val="2"/>
        <charset val="136"/>
      </rPr>
      <t xml:space="preserve">張表單流程開發及上線
</t>
    </r>
    <r>
      <rPr>
        <b/>
        <sz val="14"/>
        <rFont val="Calibri"/>
        <family val="2"/>
      </rPr>
      <t>2.</t>
    </r>
    <r>
      <rPr>
        <b/>
        <sz val="14"/>
        <rFont val="細明體"/>
        <family val="2"/>
        <charset val="136"/>
      </rPr>
      <t>教育訓練與技術移轉</t>
    </r>
    <r>
      <rPr>
        <b/>
        <sz val="14"/>
        <rFont val="Calibri"/>
        <family val="2"/>
      </rPr>
      <t xml:space="preserve">
</t>
    </r>
    <r>
      <rPr>
        <b/>
        <sz val="14"/>
        <rFont val="細明體"/>
        <family val="2"/>
        <charset val="136"/>
      </rPr>
      <t>區分系統管理者、表單流程管理員、使用者</t>
    </r>
    <phoneticPr fontId="1" type="noConversion"/>
  </si>
  <si>
    <t>第四階段技轉及上線</t>
    <phoneticPr fontId="9" type="noConversion"/>
  </si>
  <si>
    <t>技術顧問輔導開發表單流程
輔導客戶自行開發33張表單流程</t>
    <phoneticPr fontId="1" type="noConversion"/>
  </si>
  <si>
    <t>工作代號</t>
    <phoneticPr fontId="1" type="noConversion"/>
  </si>
  <si>
    <t>工作說明</t>
    <phoneticPr fontId="1" type="noConversion"/>
  </si>
  <si>
    <t>計畫人天</t>
  </si>
  <si>
    <t>負責人員</t>
    <phoneticPr fontId="1" type="noConversion"/>
  </si>
  <si>
    <t>預計開始日</t>
    <phoneticPr fontId="1" type="noConversion"/>
  </si>
  <si>
    <t>預計完成日</t>
  </si>
  <si>
    <t>實際開始日</t>
  </si>
  <si>
    <t>實際完成日</t>
    <phoneticPr fontId="1" type="noConversion"/>
  </si>
  <si>
    <t>處理時間
(PM)</t>
    <phoneticPr fontId="1" type="noConversion"/>
  </si>
  <si>
    <t>處理時間
(SA)</t>
    <phoneticPr fontId="1" type="noConversion"/>
  </si>
  <si>
    <t>處理時間
(PG)</t>
    <phoneticPr fontId="1" type="noConversion"/>
  </si>
  <si>
    <t>處理時間
(QC)</t>
    <phoneticPr fontId="1" type="noConversion"/>
  </si>
  <si>
    <t>備註</t>
  </si>
  <si>
    <t>起案會議</t>
    <phoneticPr fontId="1" type="noConversion"/>
  </si>
  <si>
    <t>All</t>
    <phoneticPr fontId="1" type="noConversion"/>
  </si>
  <si>
    <t>外部啟案會議</t>
    <phoneticPr fontId="1" type="noConversion"/>
  </si>
  <si>
    <t>內部啟案會議</t>
    <phoneticPr fontId="1" type="noConversion"/>
  </si>
  <si>
    <t>第一階段-規格階段</t>
    <phoneticPr fontId="1" type="noConversion"/>
  </si>
  <si>
    <t>蕭維德、李中凱
、中華資安-曜鍾</t>
    <phoneticPr fontId="1" type="noConversion"/>
  </si>
  <si>
    <t>需求訪談</t>
    <phoneticPr fontId="1" type="noConversion"/>
  </si>
  <si>
    <t>規格書撰寫</t>
    <phoneticPr fontId="1" type="noConversion"/>
  </si>
  <si>
    <t>蕭維德、李中凱、
中華資安-曜鍾</t>
    <phoneticPr fontId="1" type="noConversion"/>
  </si>
  <si>
    <t>2.2.1</t>
    <phoneticPr fontId="1" type="noConversion"/>
  </si>
  <si>
    <t>規格書-21張表單</t>
    <phoneticPr fontId="1" type="noConversion"/>
  </si>
  <si>
    <t>蕭維德</t>
    <phoneticPr fontId="1" type="noConversion"/>
  </si>
  <si>
    <t>2.2.1.1</t>
    <phoneticPr fontId="1" type="noConversion"/>
  </si>
  <si>
    <t>標準表單討論(防火牆規則申請單、帳號權限異動申請單、一般簽呈、公文收發、公文收文、財產增加單、押標金/履保金/印花稅簽呈)</t>
    <phoneticPr fontId="1" type="noConversion"/>
  </si>
  <si>
    <t>蕭維德</t>
  </si>
  <si>
    <t>1/20  表單討論7張  6H</t>
    <phoneticPr fontId="1" type="noConversion"/>
  </si>
  <si>
    <t>2.2.1.2</t>
  </si>
  <si>
    <t>標準表單規格書製作(7張)</t>
    <phoneticPr fontId="1" type="noConversion"/>
  </si>
  <si>
    <t>1/29 討論兩張4H</t>
    <phoneticPr fontId="1" type="noConversion"/>
  </si>
  <si>
    <t>2.2.1.3</t>
  </si>
  <si>
    <t>標準表單討論(維運電腦使用紀錄、矯正預防單)(2張)</t>
    <phoneticPr fontId="1" type="noConversion"/>
  </si>
  <si>
    <t>1/30 討論6張4H</t>
    <phoneticPr fontId="1" type="noConversion"/>
  </si>
  <si>
    <t>2.2.1.4</t>
  </si>
  <si>
    <t>標準表單規格書製作(維運電腦使用紀錄、矯正預防單)(2張)</t>
    <phoneticPr fontId="1" type="noConversion"/>
  </si>
  <si>
    <t>1/23 2H
1/27 2H</t>
    <phoneticPr fontId="1" type="noConversion"/>
  </si>
  <si>
    <t>2.2.1.5</t>
  </si>
  <si>
    <t>標準表單討論(標準變更申請單、系統使用者帳號清單、資產設備需求單、變更暨上線申請單、軟體需求申請單)(5張)</t>
    <phoneticPr fontId="1" type="noConversion"/>
  </si>
  <si>
    <t>2.2.1.6</t>
  </si>
  <si>
    <t>標準表單規格書製作(標準變更申請單、系統使用者帳號清單、資產設備需求單、變更暨上線申請單、軟體需求申請單)(5張)</t>
    <phoneticPr fontId="1" type="noConversion"/>
  </si>
  <si>
    <t>2.2.1.7</t>
  </si>
  <si>
    <t>標準表單討論(資訊服務請求單)(1張)</t>
    <phoneticPr fontId="1" type="noConversion"/>
  </si>
  <si>
    <t>2.2.1.8</t>
  </si>
  <si>
    <t>標準表單規格書製作(資訊服務請求單)(1張)</t>
    <phoneticPr fontId="1" type="noConversion"/>
  </si>
  <si>
    <t>2.2.1.9</t>
  </si>
  <si>
    <t>標準表單討論(教育訓練申請單、資安證照補助申請單)(2張)</t>
    <phoneticPr fontId="1" type="noConversion"/>
  </si>
  <si>
    <t>2.2.1.10</t>
  </si>
  <si>
    <t>標準表單規格書製作(教育訓練申請單、資安證照補助申請單)(2張)</t>
    <phoneticPr fontId="1" type="noConversion"/>
  </si>
  <si>
    <t>2.2.1.11</t>
  </si>
  <si>
    <t>標準表單討論(客戶授信額度申請表)(1張)</t>
    <phoneticPr fontId="1" type="noConversion"/>
  </si>
  <si>
    <t>2.2.1.12</t>
  </si>
  <si>
    <t>標準表單規格書製作(客戶授信額度申請表)(1張)</t>
    <phoneticPr fontId="1" type="noConversion"/>
  </si>
  <si>
    <t>2.2.2</t>
    <phoneticPr fontId="1" type="noConversion"/>
  </si>
  <si>
    <t>規格書-9張客製表單</t>
    <phoneticPr fontId="1" type="noConversion"/>
  </si>
  <si>
    <t>2.2.2.1</t>
    <phoneticPr fontId="1" type="noConversion"/>
  </si>
  <si>
    <t>客製表單討論(請購、採購、驗收)</t>
    <phoneticPr fontId="1" type="noConversion"/>
  </si>
  <si>
    <t>李中凱</t>
    <phoneticPr fontId="1" type="noConversion"/>
  </si>
  <si>
    <t>2.2.2.2</t>
  </si>
  <si>
    <t>請購、採購、驗收規格書製作</t>
    <phoneticPr fontId="1" type="noConversion"/>
  </si>
  <si>
    <t>2.2.2.3</t>
  </si>
  <si>
    <t>客製表單討論(請款單、發票開立申請單、非消耗品增加單)</t>
    <phoneticPr fontId="1" type="noConversion"/>
  </si>
  <si>
    <t>2.2.2.4</t>
  </si>
  <si>
    <t>請款單、發票開立申請單、非消耗品增加單規格書製作</t>
    <phoneticPr fontId="1" type="noConversion"/>
  </si>
  <si>
    <t>2.2.2.5</t>
  </si>
  <si>
    <t>客製表單討論(國內/外川旅費申請表、採購簽呈 (外採)、催費訪談表)</t>
    <phoneticPr fontId="1" type="noConversion"/>
  </si>
  <si>
    <t>2.2.2.6</t>
  </si>
  <si>
    <t>國內/外川旅費申請表、採購簽呈 (外採)、催費訪談表規格書製作</t>
    <phoneticPr fontId="1" type="noConversion"/>
  </si>
  <si>
    <t>2.3</t>
    <phoneticPr fontId="1" type="noConversion"/>
  </si>
  <si>
    <t>規格確認</t>
    <phoneticPr fontId="1" type="noConversion"/>
  </si>
  <si>
    <t>2.3.1</t>
    <phoneticPr fontId="1" type="noConversion"/>
  </si>
  <si>
    <t>規格書確認-21張規格書確認</t>
    <phoneticPr fontId="1" type="noConversion"/>
  </si>
  <si>
    <t>2.3.2</t>
    <phoneticPr fontId="1" type="noConversion"/>
  </si>
  <si>
    <t>規格書確認-9張規格書確認</t>
    <phoneticPr fontId="1" type="noConversion"/>
  </si>
  <si>
    <t>測試規格書</t>
    <phoneticPr fontId="1" type="noConversion"/>
  </si>
  <si>
    <t>排定30張表單流程開發及分群上線順序</t>
    <phoneticPr fontId="1" type="noConversion"/>
  </si>
  <si>
    <t>教育訓練計劃文件</t>
    <phoneticPr fontId="1" type="noConversion"/>
  </si>
  <si>
    <t>第一階段-客服單簽回</t>
    <phoneticPr fontId="1" type="noConversion"/>
  </si>
  <si>
    <t>蕭維德、中華資安-曜鍾</t>
    <phoneticPr fontId="1" type="noConversion"/>
  </si>
  <si>
    <t>第二階段-系統上線</t>
    <phoneticPr fontId="1" type="noConversion"/>
  </si>
  <si>
    <t>唐瑜、李中凱</t>
    <phoneticPr fontId="1" type="noConversion"/>
  </si>
  <si>
    <t>BPM資訊系統安裝、設定與初始資料建置</t>
    <phoneticPr fontId="1" type="noConversion"/>
  </si>
  <si>
    <t>Hill</t>
    <phoneticPr fontId="1" type="noConversion"/>
  </si>
  <si>
    <t>初版表單建置</t>
    <phoneticPr fontId="1" type="noConversion"/>
  </si>
  <si>
    <t>3.2.1</t>
    <phoneticPr fontId="1" type="noConversion"/>
  </si>
  <si>
    <t>課程學習-UOFX 表單設計</t>
    <phoneticPr fontId="1" type="noConversion"/>
  </si>
  <si>
    <t>唐瑜</t>
    <phoneticPr fontId="1" type="noConversion"/>
  </si>
  <si>
    <t>01/13 - 影片教學 1.5h
01/14 - 影片教學 2h</t>
  </si>
  <si>
    <t>3.2.2</t>
  </si>
  <si>
    <t>表單初版建置-5.一般簽呈</t>
    <phoneticPr fontId="1" type="noConversion"/>
  </si>
  <si>
    <t>01/14 - 表單設計 0.5h</t>
  </si>
  <si>
    <t>3.2.3</t>
  </si>
  <si>
    <t>表單初版建置-7.財產增加單</t>
    <phoneticPr fontId="1" type="noConversion"/>
  </si>
  <si>
    <t>3.2.4</t>
  </si>
  <si>
    <r>
      <t xml:space="preserve">表單初版建置-24 押標金/履保金/印花稅簽呈 </t>
    </r>
    <r>
      <rPr>
        <sz val="12"/>
        <color rgb="FFFF0000"/>
        <rFont val="微軟正黑體"/>
        <family val="2"/>
        <charset val="136"/>
      </rPr>
      <t>(不進行製作)</t>
    </r>
    <phoneticPr fontId="1" type="noConversion"/>
  </si>
  <si>
    <t>01/15 - 表單設計(含文件撰寫) 1h</t>
  </si>
  <si>
    <t>3.2.5</t>
  </si>
  <si>
    <t>表單初版建置-29 公文收發</t>
    <phoneticPr fontId="1" type="noConversion"/>
  </si>
  <si>
    <t>3.2.6</t>
  </si>
  <si>
    <t>表單初版建置-11 防火牆規則申請單</t>
    <phoneticPr fontId="1" type="noConversion"/>
  </si>
  <si>
    <t>3.2.7</t>
  </si>
  <si>
    <t>表單初版建置-12 標準變更申請單</t>
    <phoneticPr fontId="1" type="noConversion"/>
  </si>
  <si>
    <t>3.2.8</t>
  </si>
  <si>
    <t>表單初版建置-13 帳號權限異動申請單</t>
    <phoneticPr fontId="1" type="noConversion"/>
  </si>
  <si>
    <t>3.2.9</t>
  </si>
  <si>
    <t>表單建置-1.用印申請單</t>
  </si>
  <si>
    <t>02/04 - 表單設計(含文件撰寫) 3h</t>
  </si>
  <si>
    <t>3.2.10</t>
  </si>
  <si>
    <t>表單建置-11.防火牆規則申請單</t>
  </si>
  <si>
    <t>01/30 - 表單設計(含文件撰寫) 1h</t>
  </si>
  <si>
    <t>3.2.11</t>
  </si>
  <si>
    <t>表單建置-18.教育訓練申請單(一般/特殊/委外)</t>
  </si>
  <si>
    <t>01/22- 表單設計(含文件撰寫) 2h</t>
  </si>
  <si>
    <t>3.2.12</t>
  </si>
  <si>
    <t>表單建置-26.維運電腦使用紀錄</t>
  </si>
  <si>
    <t>01/30 - 表單設計(含文件撰寫) 2h</t>
  </si>
  <si>
    <t>第二階段-異質系統整合</t>
    <phoneticPr fontId="1" type="noConversion"/>
  </si>
  <si>
    <t>Azure Entra ID &amp; SSO</t>
    <phoneticPr fontId="1" type="noConversion"/>
  </si>
  <si>
    <t>蕭維德、Hill、中華資安</t>
    <phoneticPr fontId="1" type="noConversion"/>
  </si>
  <si>
    <t>104Max人資系統</t>
    <phoneticPr fontId="1" type="noConversion"/>
  </si>
  <si>
    <t>NetSuite ERP SaaS系統</t>
    <phoneticPr fontId="1" type="noConversion"/>
  </si>
  <si>
    <t>李中凱、中華資安</t>
    <phoneticPr fontId="1" type="noConversion"/>
  </si>
  <si>
    <t>檔案保存系統SharePoint介接</t>
    <phoneticPr fontId="1" type="noConversion"/>
  </si>
  <si>
    <t>蕭維德、中華資安</t>
    <phoneticPr fontId="1" type="noConversion"/>
  </si>
  <si>
    <t>3.2.4.1</t>
    <phoneticPr fontId="1" type="noConversion"/>
  </si>
  <si>
    <t>SharePoint POC 畫面/串接</t>
    <phoneticPr fontId="1" type="noConversion"/>
  </si>
  <si>
    <t>林宥勳</t>
    <phoneticPr fontId="1" type="noConversion"/>
  </si>
  <si>
    <t>3/16-2h
3/18-2h
3/19-2h
3/24-4h</t>
  </si>
  <si>
    <t>3.2.4.1</t>
  </si>
  <si>
    <t>SharePoint POC API製作</t>
  </si>
  <si>
    <t>李翊華</t>
    <phoneticPr fontId="1" type="noConversion"/>
  </si>
  <si>
    <t>03/16 - 1.5H
03/17 - 4.5H
03/18 - 4H</t>
  </si>
  <si>
    <t>完成現有4個系統整合測試報告</t>
    <phoneticPr fontId="1" type="noConversion"/>
  </si>
  <si>
    <t>3.2.5.1</t>
    <phoneticPr fontId="1" type="noConversion"/>
  </si>
  <si>
    <t>Azure Entra ID &amp; SSO 整合測試報告</t>
    <phoneticPr fontId="1" type="noConversion"/>
  </si>
  <si>
    <r>
      <t>預計</t>
    </r>
    <r>
      <rPr>
        <sz val="12"/>
        <color theme="1"/>
        <rFont val="Calibri"/>
        <family val="2"/>
      </rPr>
      <t>3/31</t>
    </r>
    <r>
      <rPr>
        <sz val="12"/>
        <color theme="1"/>
        <rFont val="微軟正黑體"/>
        <family val="2"/>
        <charset val="136"/>
      </rPr>
      <t>完成</t>
    </r>
    <phoneticPr fontId="1" type="noConversion"/>
  </si>
  <si>
    <t>3.2.5.2</t>
  </si>
  <si>
    <t>104Max人資系統整合測試報告</t>
    <phoneticPr fontId="1" type="noConversion"/>
  </si>
  <si>
    <r>
      <t>預計</t>
    </r>
    <r>
      <rPr>
        <sz val="12"/>
        <color theme="1"/>
        <rFont val="Calibri"/>
        <family val="2"/>
      </rPr>
      <t>4/10</t>
    </r>
    <phoneticPr fontId="1" type="noConversion"/>
  </si>
  <si>
    <t>3.2.5.3</t>
  </si>
  <si>
    <t>NetSuite ERP SaaS系統整合測試報告</t>
    <phoneticPr fontId="1" type="noConversion"/>
  </si>
  <si>
    <t>3.2.5.4</t>
  </si>
  <si>
    <t>檔案保存系統SharePoint介接整合測試報告</t>
    <phoneticPr fontId="1" type="noConversion"/>
  </si>
  <si>
    <t>蕭維德、唐瑜</t>
    <phoneticPr fontId="1" type="noConversion"/>
  </si>
  <si>
    <t>3.3</t>
    <phoneticPr fontId="1" type="noConversion"/>
  </si>
  <si>
    <t>5個表單流程製作之設計內容及上線測試報告</t>
    <phoneticPr fontId="1" type="noConversion"/>
  </si>
  <si>
    <t>亞家</t>
    <phoneticPr fontId="1" type="noConversion"/>
  </si>
  <si>
    <t>3.3.1</t>
    <phoneticPr fontId="1" type="noConversion"/>
  </si>
  <si>
    <t>1. 1 用印申請單調整及測試</t>
    <phoneticPr fontId="1" type="noConversion"/>
  </si>
  <si>
    <t>4/7 表單調整 4H，表單測試及報告製作4H</t>
    <phoneticPr fontId="1" type="noConversion"/>
  </si>
  <si>
    <t>3.3.3</t>
    <phoneticPr fontId="1" type="noConversion"/>
  </si>
  <si>
    <t>用印申請單上線測試報告</t>
    <phoneticPr fontId="1" type="noConversion"/>
  </si>
  <si>
    <t>3.3.4</t>
    <phoneticPr fontId="1" type="noConversion"/>
  </si>
  <si>
    <t>2. 12標準變更申請單</t>
    <phoneticPr fontId="1" type="noConversion"/>
  </si>
  <si>
    <t>1/22、1/30 已談過
2026/03/12 承會議結論，調整第二階段上線表單，由防火牆規則申請單調整成標準變更申請單
4/8 表單調整 4H，表單測試及報告製作4H</t>
    <phoneticPr fontId="1" type="noConversion"/>
  </si>
  <si>
    <t>3.3.6</t>
    <phoneticPr fontId="1" type="noConversion"/>
  </si>
  <si>
    <t>標準變更申請單上線測試報告</t>
    <phoneticPr fontId="1" type="noConversion"/>
  </si>
  <si>
    <t>3.3.7</t>
    <phoneticPr fontId="1" type="noConversion"/>
  </si>
  <si>
    <t>3. 18 教育訓練申請單(一般/特殊/委外)調整及測試</t>
    <phoneticPr fontId="1" type="noConversion"/>
  </si>
  <si>
    <t>4/15 表單調整 4H，表單測試及報告製作4H</t>
    <phoneticPr fontId="1" type="noConversion"/>
  </si>
  <si>
    <t>3.3.9</t>
    <phoneticPr fontId="1" type="noConversion"/>
  </si>
  <si>
    <t>教育訓練申請單上線測試報告</t>
    <phoneticPr fontId="1" type="noConversion"/>
  </si>
  <si>
    <t>3.3.10</t>
    <phoneticPr fontId="1" type="noConversion"/>
  </si>
  <si>
    <t>4. 30客戶授信額度申請(變更)表調整及測試</t>
    <phoneticPr fontId="1" type="noConversion"/>
  </si>
  <si>
    <t>4/16 表單調整 4H，表單測試及報告製作4H</t>
    <phoneticPr fontId="1" type="noConversion"/>
  </si>
  <si>
    <t>3.3.12</t>
    <phoneticPr fontId="1" type="noConversion"/>
  </si>
  <si>
    <t>客戶授信額度申請上線測試報告</t>
    <phoneticPr fontId="1" type="noConversion"/>
  </si>
  <si>
    <t>3.3.13</t>
    <phoneticPr fontId="1" type="noConversion"/>
  </si>
  <si>
    <t>5. 26維運電腦使用紀錄調整及測試</t>
    <phoneticPr fontId="1" type="noConversion"/>
  </si>
  <si>
    <t>1/30 已談過
4/22 表單調整 4H，表單測試及報告製作4H</t>
    <phoneticPr fontId="1" type="noConversion"/>
  </si>
  <si>
    <t>3.3.15</t>
    <phoneticPr fontId="1" type="noConversion"/>
  </si>
  <si>
    <t>維運電腦使用紀錄上線測試報告</t>
    <phoneticPr fontId="1" type="noConversion"/>
  </si>
  <si>
    <t>3.3.16</t>
    <phoneticPr fontId="1" type="noConversion"/>
  </si>
  <si>
    <t>第二階段5張表單表單上線</t>
    <phoneticPr fontId="1" type="noConversion"/>
  </si>
  <si>
    <t>第二階段驗收確認單</t>
    <phoneticPr fontId="1" type="noConversion"/>
  </si>
  <si>
    <t>第三階段-完成30張表單流程開發及上線</t>
    <phoneticPr fontId="1" type="noConversion"/>
  </si>
  <si>
    <t>標準表單建置</t>
    <phoneticPr fontId="1" type="noConversion"/>
  </si>
  <si>
    <t>4.1.1</t>
    <phoneticPr fontId="1" type="noConversion"/>
  </si>
  <si>
    <t>表單初版建置-14 系統使用者帳號清單</t>
    <phoneticPr fontId="1" type="noConversion"/>
  </si>
  <si>
    <t>01/21 - 表單設計(含文件撰寫) 1h</t>
  </si>
  <si>
    <t>4.1.2</t>
  </si>
  <si>
    <t>表單初版建置-15 資產設備需求單</t>
    <phoneticPr fontId="1" type="noConversion"/>
  </si>
  <si>
    <t>4.1.3</t>
  </si>
  <si>
    <r>
      <t>表單初版建置-16 軟體需求申請單</t>
    </r>
    <r>
      <rPr>
        <sz val="12"/>
        <color rgb="FFFF0000"/>
        <rFont val="微軟正黑體"/>
        <family val="2"/>
        <charset val="136"/>
      </rPr>
      <t xml:space="preserve"> </t>
    </r>
    <r>
      <rPr>
        <sz val="12"/>
        <color theme="8" tint="-0.249977111117893"/>
        <rFont val="微軟正黑體"/>
        <family val="2"/>
        <charset val="136"/>
      </rPr>
      <t>(併至15資產設備)</t>
    </r>
    <phoneticPr fontId="1" type="noConversion"/>
  </si>
  <si>
    <t>01/22 - 表單設計(含文件撰寫) 1h
1/30- 客戶提出該張單併至資產設備需求單</t>
    <phoneticPr fontId="1" type="noConversion"/>
  </si>
  <si>
    <t>4.1.4</t>
  </si>
  <si>
    <t>表單初版建置-18 教育訓練申請單</t>
    <phoneticPr fontId="1" type="noConversion"/>
  </si>
  <si>
    <t>01/22 - 表單設計(含文件撰寫) 2h</t>
  </si>
  <si>
    <t>4.1.5</t>
  </si>
  <si>
    <t>表單初版建置-19 資安證照補助申請單</t>
    <phoneticPr fontId="1" type="noConversion"/>
  </si>
  <si>
    <t>01/29 - 表單設計(含文件撰寫) 1h</t>
  </si>
  <si>
    <t>4.1.6</t>
  </si>
  <si>
    <t>表單初版建置-28 變更暨上線申請單</t>
    <phoneticPr fontId="1" type="noConversion"/>
  </si>
  <si>
    <t>01/27 - 表單設計(含文件撰寫) 4h</t>
  </si>
  <si>
    <t>4.1.7</t>
  </si>
  <si>
    <t>表單初版建置-23 資訊服務請求單</t>
    <phoneticPr fontId="1" type="noConversion"/>
  </si>
  <si>
    <t>02/06 - 表單設計(含文件撰寫) 1h</t>
  </si>
  <si>
    <t>4.1.8</t>
  </si>
  <si>
    <t>表單初版建置-26 維運電腦使用紀錄</t>
    <phoneticPr fontId="1" type="noConversion"/>
  </si>
  <si>
    <t>01/27 - 表單設計(含文件撰寫) 1h</t>
  </si>
  <si>
    <t>4.1.9</t>
  </si>
  <si>
    <t>表單初版建置-1 用印申請單</t>
    <phoneticPr fontId="1" type="noConversion"/>
  </si>
  <si>
    <t>02/04 - 表單設計(含文件撰寫) 2.5h</t>
  </si>
  <si>
    <t>4.1.10</t>
  </si>
  <si>
    <t>表單初版建置-6 財產異動單 (待討論)</t>
    <phoneticPr fontId="1" type="noConversion"/>
  </si>
  <si>
    <t>02/03 - 表單設計(含文件撰寫) 1.5h</t>
  </si>
  <si>
    <t>4.1.11</t>
  </si>
  <si>
    <t>表單初版建置-27 矯正預防單</t>
    <phoneticPr fontId="1" type="noConversion"/>
  </si>
  <si>
    <t>01/27 - 表單設計(含文件撰寫) 2h</t>
  </si>
  <si>
    <t>4.1.12</t>
  </si>
  <si>
    <t>表單初版建置-30 客戶授信額度申請 (變更) 表</t>
    <phoneticPr fontId="1" type="noConversion"/>
  </si>
  <si>
    <t>02/11 - 表單設計(含文件撰寫) 2h</t>
  </si>
  <si>
    <t>4.1.13</t>
  </si>
  <si>
    <r>
      <t>表單初版建置-9 專業人力部人員工作評量表</t>
    </r>
    <r>
      <rPr>
        <strike/>
        <sz val="12"/>
        <color rgb="FFFF0000"/>
        <rFont val="微軟正黑體"/>
        <family val="2"/>
        <charset val="136"/>
      </rPr>
      <t>(不進行製作)</t>
    </r>
    <phoneticPr fontId="1" type="noConversion"/>
  </si>
  <si>
    <t>4.1.14</t>
  </si>
  <si>
    <r>
      <t>表單初版建置-10 從業人員離職/留職停薪/轉調確認表</t>
    </r>
    <r>
      <rPr>
        <strike/>
        <sz val="12"/>
        <color rgb="FFFF0000"/>
        <rFont val="微軟正黑體"/>
        <family val="2"/>
        <charset val="136"/>
      </rPr>
      <t>(不進行製作)</t>
    </r>
    <phoneticPr fontId="1" type="noConversion"/>
  </si>
  <si>
    <t>表單調整+測試</t>
    <phoneticPr fontId="1" type="noConversion"/>
  </si>
  <si>
    <t>4.2.1</t>
    <phoneticPr fontId="1" type="noConversion"/>
  </si>
  <si>
    <t>表單調整-5.一般簽呈</t>
    <phoneticPr fontId="1" type="noConversion"/>
  </si>
  <si>
    <t>4.2.2</t>
    <phoneticPr fontId="1" type="noConversion"/>
  </si>
  <si>
    <t>表單調整-6 財產異動單</t>
    <phoneticPr fontId="1" type="noConversion"/>
  </si>
  <si>
    <t>4.2.3</t>
  </si>
  <si>
    <t>表單調整-7.財產增加單</t>
    <phoneticPr fontId="1" type="noConversion"/>
  </si>
  <si>
    <t>4.2.4</t>
  </si>
  <si>
    <t>表單調整-27 矯正預防單</t>
    <phoneticPr fontId="1" type="noConversion"/>
  </si>
  <si>
    <t>4.2.5</t>
  </si>
  <si>
    <t>表單調整-13 帳號權限異動申請單</t>
    <phoneticPr fontId="1" type="noConversion"/>
  </si>
  <si>
    <t>4.2.6</t>
  </si>
  <si>
    <t>表單調整-14 系統使用者帳號清單</t>
    <phoneticPr fontId="1" type="noConversion"/>
  </si>
  <si>
    <t>4.2.7</t>
  </si>
  <si>
    <t>表單調整-15 資產設備需求單</t>
    <phoneticPr fontId="1" type="noConversion"/>
  </si>
  <si>
    <t>4.2.8</t>
  </si>
  <si>
    <r>
      <t>表單調整-16 軟體需求申請單</t>
    </r>
    <r>
      <rPr>
        <sz val="12"/>
        <color rgb="FFFF0000"/>
        <rFont val="微軟正黑體"/>
        <family val="2"/>
        <charset val="136"/>
      </rPr>
      <t xml:space="preserve"> </t>
    </r>
    <r>
      <rPr>
        <sz val="12"/>
        <color theme="8" tint="-0.249977111117893"/>
        <rFont val="微軟正黑體"/>
        <family val="2"/>
        <charset val="136"/>
      </rPr>
      <t>(併至15資產設備)</t>
    </r>
    <phoneticPr fontId="1" type="noConversion"/>
  </si>
  <si>
    <t>4.2.9</t>
  </si>
  <si>
    <t>表單調整-19 資安證照補助申請單</t>
    <phoneticPr fontId="1" type="noConversion"/>
  </si>
  <si>
    <t>4.2.10</t>
  </si>
  <si>
    <t>表單調整-28 變更暨上線申請單</t>
    <phoneticPr fontId="1" type="noConversion"/>
  </si>
  <si>
    <t>4.2.11</t>
  </si>
  <si>
    <t>表單調整-29 公文收文</t>
    <phoneticPr fontId="1" type="noConversion"/>
  </si>
  <si>
    <t>4.2.12</t>
  </si>
  <si>
    <t>表單調整-29 公文發文</t>
    <phoneticPr fontId="1" type="noConversion"/>
  </si>
  <si>
    <t>4.2.13</t>
  </si>
  <si>
    <t>表單調整- (客)防火牆規則申請單</t>
    <phoneticPr fontId="1" type="noConversion"/>
  </si>
  <si>
    <t>4.2.14</t>
  </si>
  <si>
    <t>標準表單測試報告</t>
    <phoneticPr fontId="1" type="noConversion"/>
  </si>
  <si>
    <t>標準表單客戶測試</t>
    <phoneticPr fontId="1" type="noConversion"/>
  </si>
  <si>
    <t>中華資安</t>
  </si>
  <si>
    <t>4.3.1</t>
  </si>
  <si>
    <t>客戶測試-5.一般簽呈</t>
    <phoneticPr fontId="1" type="noConversion"/>
  </si>
  <si>
    <t>4.3.2</t>
  </si>
  <si>
    <t>客戶測試-6 財產異動單</t>
  </si>
  <si>
    <t>4.3.3</t>
  </si>
  <si>
    <t>客戶測試-7.財產增加單</t>
  </si>
  <si>
    <t>4.3.4</t>
  </si>
  <si>
    <t>客戶測試-27 矯正預防單</t>
    <phoneticPr fontId="1" type="noConversion"/>
  </si>
  <si>
    <t>4.3.5</t>
  </si>
  <si>
    <t>客戶測試-13 帳號權限異動申請單</t>
  </si>
  <si>
    <t>4.3.6</t>
  </si>
  <si>
    <t>客戶測試-14 系統使用者帳號清單</t>
  </si>
  <si>
    <t>4.3.7</t>
  </si>
  <si>
    <t>客戶測試-15 資產設備需求單</t>
  </si>
  <si>
    <t>4.3.8</t>
  </si>
  <si>
    <t>客戶測試-16 軟體需求申請單 (併至15資產設備)</t>
  </si>
  <si>
    <t>4.3.9</t>
  </si>
  <si>
    <t>客戶測試-19 資安證照補助申請單</t>
  </si>
  <si>
    <t>4.3.10</t>
  </si>
  <si>
    <t>客戶測試-28 變更暨上線申請單</t>
  </si>
  <si>
    <t>4.3.11</t>
  </si>
  <si>
    <t>客戶測試-29 公文收文</t>
  </si>
  <si>
    <t>4.3.12</t>
  </si>
  <si>
    <t>客戶測試-29 公文發文</t>
  </si>
  <si>
    <t>4.3.13</t>
  </si>
  <si>
    <t>客戶測試-12 (客)標準變更申請單</t>
    <phoneticPr fontId="1" type="noConversion"/>
  </si>
  <si>
    <t>4.3.14</t>
  </si>
  <si>
    <t>依測試果進行討論/調整</t>
    <phoneticPr fontId="1" type="noConversion"/>
  </si>
  <si>
    <t>4.3.15</t>
  </si>
  <si>
    <t>客戶複測</t>
    <phoneticPr fontId="1" type="noConversion"/>
  </si>
  <si>
    <t>4.3.16</t>
  </si>
  <si>
    <t>標準表單上線</t>
    <phoneticPr fontId="1" type="noConversion"/>
  </si>
  <si>
    <t>4.4</t>
  </si>
  <si>
    <t>客製表單開發</t>
    <phoneticPr fontId="1" type="noConversion"/>
  </si>
  <si>
    <t>4.4.1</t>
  </si>
  <si>
    <t>2.1.2 請購單</t>
    <phoneticPr fontId="1" type="noConversion"/>
  </si>
  <si>
    <t>李中凱A</t>
    <phoneticPr fontId="1" type="noConversion"/>
  </si>
  <si>
    <t>目前依照先前規格 90% ，但4/24提供內容有需要調整故為80%</t>
    <phoneticPr fontId="1" type="noConversion"/>
  </si>
  <si>
    <t>4.4.2</t>
  </si>
  <si>
    <t>請轉採客製拋轉功能(頁面)</t>
    <phoneticPr fontId="1" type="noConversion"/>
  </si>
  <si>
    <t>目前80%</t>
    <phoneticPr fontId="1" type="noConversion"/>
  </si>
  <si>
    <t>4.4.3</t>
  </si>
  <si>
    <t>2.1.3 採購單</t>
    <phoneticPr fontId="1" type="noConversion"/>
  </si>
  <si>
    <t>目前依照先前規格 85% ，但4/24提採購單規格還尚未確認</t>
    <phoneticPr fontId="1" type="noConversion"/>
  </si>
  <si>
    <t>4.4.4</t>
  </si>
  <si>
    <t>2.1.22 採購簽呈(外採)</t>
    <phoneticPr fontId="1" type="noConversion"/>
  </si>
  <si>
    <t>目前依照先前規格 80% ，4/24 原先詢比議為文字輸入，調整為明細</t>
    <phoneticPr fontId="1" type="noConversion"/>
  </si>
  <si>
    <t>4.4.5</t>
  </si>
  <si>
    <t>採轉驗客製拋轉功能(頁面)</t>
    <phoneticPr fontId="1" type="noConversion"/>
  </si>
  <si>
    <t xml:space="preserve">目前依照先前規格 40% </t>
    <phoneticPr fontId="1" type="noConversion"/>
  </si>
  <si>
    <t>4.4.6</t>
  </si>
  <si>
    <t>2.1.4 驗收紀錄單</t>
    <phoneticPr fontId="1" type="noConversion"/>
  </si>
  <si>
    <t>李中凱B</t>
    <phoneticPr fontId="1" type="noConversion"/>
  </si>
  <si>
    <t>4/24 對NS寫回規格</t>
    <phoneticPr fontId="1" type="noConversion"/>
  </si>
  <si>
    <t>4.4.7</t>
  </si>
  <si>
    <t>2.1.20 請款單 (採購單請款)(NS起單 BPM簽核)</t>
    <phoneticPr fontId="1" type="noConversion"/>
  </si>
  <si>
    <t>4.4.8</t>
  </si>
  <si>
    <t>請款單 (廠商請款單)</t>
    <phoneticPr fontId="1" type="noConversion"/>
  </si>
  <si>
    <t>4.4.9</t>
  </si>
  <si>
    <t>請款單 (員工費用請款&amp;員工個人零用金)</t>
    <phoneticPr fontId="1" type="noConversion"/>
  </si>
  <si>
    <t>須重看規格，4/27之後才提供規格</t>
    <phoneticPr fontId="1" type="noConversion"/>
  </si>
  <si>
    <t>4.4.10</t>
  </si>
  <si>
    <t>請款單 (零用金合併請款)</t>
    <phoneticPr fontId="1" type="noConversion"/>
  </si>
  <si>
    <t>4.4.11</t>
  </si>
  <si>
    <t>2.1.17 國內/外差旅費申請表</t>
    <phoneticPr fontId="1" type="noConversion"/>
  </si>
  <si>
    <t xml:space="preserve">單獨
寫回應付款 尚未提供內容
中華資安需與104約會議時間 </t>
    <phoneticPr fontId="1" type="noConversion"/>
  </si>
  <si>
    <t>4.4.12</t>
  </si>
  <si>
    <t>2.1.8 非消耗品增加單</t>
    <phoneticPr fontId="1" type="noConversion"/>
  </si>
  <si>
    <r>
      <t>蕭維德</t>
    </r>
    <r>
      <rPr>
        <sz val="12"/>
        <color theme="1"/>
        <rFont val="Microsoft JhengHei UI"/>
        <family val="2"/>
        <charset val="136"/>
      </rPr>
      <t>、李哲瑋、林家慧</t>
    </r>
    <phoneticPr fontId="1" type="noConversion"/>
  </si>
  <si>
    <t>4.4.13</t>
  </si>
  <si>
    <t>2.1.21 發票開立申請單</t>
    <phoneticPr fontId="1" type="noConversion"/>
  </si>
  <si>
    <t>須等NETSUITE TEMP TABLE 
單獨</t>
    <phoneticPr fontId="1" type="noConversion"/>
  </si>
  <si>
    <t>4.4.14</t>
  </si>
  <si>
    <t>2.1.25 催費訪談表</t>
    <phoneticPr fontId="1" type="noConversion"/>
  </si>
  <si>
    <t>須等NETSUITE 催費INTERFACE 完成後才可進入開發
單獨</t>
    <phoneticPr fontId="1" type="noConversion"/>
  </si>
  <si>
    <t>客製表單客戶測試</t>
    <phoneticPr fontId="1" type="noConversion"/>
  </si>
  <si>
    <t>待規格及開發完成後定義測試時間</t>
    <phoneticPr fontId="1" type="noConversion"/>
  </si>
  <si>
    <t>4.5.1</t>
  </si>
  <si>
    <t>中華資安</t>
    <phoneticPr fontId="1" type="noConversion"/>
  </si>
  <si>
    <t>4.5.2</t>
  </si>
  <si>
    <t>請轉採客製拋轉功能(頁面)</t>
  </si>
  <si>
    <t>4.5.3</t>
  </si>
  <si>
    <t>4.5.4</t>
  </si>
  <si>
    <t>4.5.5</t>
  </si>
  <si>
    <t>4.5.6</t>
  </si>
  <si>
    <t>4.5.7</t>
  </si>
  <si>
    <t>4.5.8</t>
  </si>
  <si>
    <t>4.5.9</t>
  </si>
  <si>
    <t>4.5.10</t>
  </si>
  <si>
    <t>4.5.11</t>
  </si>
  <si>
    <t>4.5.12</t>
  </si>
  <si>
    <t>4.5.13</t>
  </si>
  <si>
    <t>4.5.14</t>
  </si>
  <si>
    <t>4.5.15</t>
  </si>
  <si>
    <t>客戶議題調整</t>
    <phoneticPr fontId="1" type="noConversion"/>
  </si>
  <si>
    <t>亞家、中華資安</t>
    <phoneticPr fontId="1" type="noConversion"/>
  </si>
  <si>
    <t>4.5.16</t>
  </si>
  <si>
    <t>客戶覆測</t>
    <phoneticPr fontId="1" type="noConversion"/>
  </si>
  <si>
    <t>4.5.17</t>
  </si>
  <si>
    <t>客製表單上線</t>
    <phoneticPr fontId="1" type="noConversion"/>
  </si>
  <si>
    <t>額外開發項目</t>
    <phoneticPr fontId="1" type="noConversion"/>
  </si>
  <si>
    <t>2FA登入(Mail驗證碼)-規格書</t>
    <phoneticPr fontId="1" type="noConversion"/>
  </si>
  <si>
    <t>2FA登入(Mail驗證碼)-畫面</t>
    <phoneticPr fontId="1" type="noConversion"/>
  </si>
  <si>
    <t>7/24 - 2H</t>
  </si>
  <si>
    <t>2FA登入(Mail驗證碼)-Api</t>
    <phoneticPr fontId="1" type="noConversion"/>
  </si>
  <si>
    <t>Eva</t>
    <phoneticPr fontId="1" type="noConversion"/>
  </si>
  <si>
    <t>8/10 - 2H
8/11- 7H
8/12 - 5.5H
8/13 - 5.5H</t>
  </si>
  <si>
    <t>2FA登入(Mail驗證碼)-串接</t>
    <phoneticPr fontId="1" type="noConversion"/>
  </si>
  <si>
    <t>8/14 - 3H
8/17 - 7.5H
8/18 - 4H
8/21 - 0.5H</t>
  </si>
  <si>
    <t>2FA登入(Mail驗證碼)-測試</t>
    <phoneticPr fontId="1" type="noConversion"/>
  </si>
  <si>
    <t>8/18 - 4H
8/19 - 2H
8/21-2H</t>
  </si>
  <si>
    <t>104 多職務維護-規格書</t>
    <phoneticPr fontId="1" type="noConversion"/>
  </si>
  <si>
    <t>104 多職務維護-畫面</t>
    <phoneticPr fontId="1" type="noConversion"/>
  </si>
  <si>
    <t>方琦</t>
  </si>
  <si>
    <t>8/3 - 1H
8/4 - 5H</t>
  </si>
  <si>
    <t>104 多職務維護-Api</t>
    <phoneticPr fontId="1" type="noConversion"/>
  </si>
  <si>
    <t xml:space="preserve">8/7 - 6H
8/10 - 5.5H
9/3 - 1.5H
104 9/3 完成掛選單作業，亞家9/3、9/4 完成調整及確認  </t>
  </si>
  <si>
    <t>104 多職務維護-串接</t>
    <phoneticPr fontId="1" type="noConversion"/>
  </si>
  <si>
    <t>8/12 - 7H
9/4 - 3.5H</t>
  </si>
  <si>
    <t>5.10</t>
    <phoneticPr fontId="1" type="noConversion"/>
  </si>
  <si>
    <t>104 多職務維護-測試</t>
    <phoneticPr fontId="1" type="noConversion"/>
  </si>
  <si>
    <t>9/4 - 1H</t>
  </si>
  <si>
    <t>套表列印</t>
    <phoneticPr fontId="1" type="noConversion"/>
  </si>
  <si>
    <t>王政崴</t>
    <phoneticPr fontId="1" type="noConversion"/>
  </si>
  <si>
    <t>08/14-5H
08/17 - 2.5H</t>
  </si>
  <si>
    <t>客戶正式區部屬</t>
    <phoneticPr fontId="1" type="noConversion"/>
  </si>
  <si>
    <t>蕭維德、李哲瑋、林家慧</t>
    <phoneticPr fontId="1" type="noConversion"/>
  </si>
  <si>
    <t>Go-Live</t>
    <phoneticPr fontId="1" type="noConversion"/>
  </si>
  <si>
    <t>客戶</t>
    <phoneticPr fontId="1" type="noConversion"/>
  </si>
  <si>
    <t>驗收客服單</t>
    <phoneticPr fontId="1" type="noConversion"/>
  </si>
  <si>
    <t>結案檢討</t>
  </si>
  <si>
    <t>提報人</t>
  </si>
  <si>
    <t>提報日期</t>
  </si>
  <si>
    <t>類型</t>
  </si>
  <si>
    <t>需求說明</t>
  </si>
  <si>
    <t>解決方案</t>
  </si>
  <si>
    <t>處理人員</t>
  </si>
  <si>
    <t>狀態</t>
  </si>
  <si>
    <t>內部Uat確認</t>
  </si>
  <si>
    <t>部版版號</t>
  </si>
  <si>
    <t>客戶UAT日</t>
  </si>
  <si>
    <t>客戶確認日</t>
  </si>
  <si>
    <t>需求</t>
  </si>
  <si>
    <t>財產異動要直接關聯財產增加帶出財產增加明細</t>
    <phoneticPr fontId="1" type="noConversion"/>
  </si>
  <si>
    <t>需客製才可達到，此張為標準表單需再跟客戶說明</t>
    <phoneticPr fontId="1" type="noConversion"/>
  </si>
  <si>
    <t>財產異動串接NS</t>
    <phoneticPr fontId="1" type="noConversion"/>
  </si>
  <si>
    <t>NS目前無財產模組API</t>
    <phoneticPr fontId="1" type="noConversion"/>
  </si>
  <si>
    <t>請轉採客製拋轉頁面</t>
    <phoneticPr fontId="1" type="noConversion"/>
  </si>
  <si>
    <t>額外客製頁面</t>
    <phoneticPr fontId="1" type="noConversion"/>
  </si>
  <si>
    <t>採轉驗客製拋轉頁面</t>
    <phoneticPr fontId="1" type="noConversion"/>
  </si>
  <si>
    <t>請款單 (預付款請款)</t>
    <phoneticPr fontId="1" type="noConversion"/>
  </si>
  <si>
    <t>額外新增表單</t>
    <phoneticPr fontId="1" type="noConversion"/>
  </si>
  <si>
    <t>請款單 (員工費用請款)</t>
    <phoneticPr fontId="1" type="noConversion"/>
  </si>
  <si>
    <t>請款黏貼單套印</t>
    <phoneticPr fontId="1" type="noConversion"/>
  </si>
  <si>
    <t>維德評估看是否使用標準這邊QUOTA</t>
    <phoneticPr fontId="1" type="noConversion"/>
  </si>
  <si>
    <t>授信額度申請單  串接NS</t>
    <phoneticPr fontId="1" type="noConversion"/>
  </si>
  <si>
    <t>議題</t>
  </si>
  <si>
    <t>104只有一個職種，該如何同步</t>
    <phoneticPr fontId="1" type="noConversion"/>
  </si>
  <si>
    <t>104說要客製，客戶不認同</t>
    <phoneticPr fontId="1" type="noConversion"/>
  </si>
  <si>
    <t>104、蕭維德</t>
    <phoneticPr fontId="1" type="noConversion"/>
  </si>
  <si>
    <t>104有告知bpm可以匯出資料讓104可以匯入</t>
    <phoneticPr fontId="1" type="noConversion"/>
  </si>
  <si>
    <t>教育訓練申請單，表單欄位調整，上課人員及點數計算</t>
    <phoneticPr fontId="1" type="noConversion"/>
  </si>
  <si>
    <t>2h</t>
    <phoneticPr fontId="1" type="noConversion"/>
  </si>
  <si>
    <t>調整客戶授信額度表單欄位，規格2.7版</t>
    <phoneticPr fontId="1" type="noConversion"/>
  </si>
  <si>
    <t>客戶授信-刪除附件欄位</t>
    <phoneticPr fontId="1" type="noConversion"/>
  </si>
  <si>
    <t>weite</t>
    <phoneticPr fontId="1" type="noConversion"/>
  </si>
  <si>
    <t>非消耗品查詢介面日期欄位需調整成只顯示日期</t>
    <phoneticPr fontId="1" type="noConversion"/>
  </si>
  <si>
    <t>將現有時分秒移除</t>
    <phoneticPr fontId="1" type="noConversion"/>
  </si>
  <si>
    <t>林家慧</t>
    <phoneticPr fontId="1" type="noConversion"/>
  </si>
  <si>
    <t>左側選單切換部門時，是否可不閃爍，或者loading 視窗只遮罩右邊程線人員的區塊</t>
    <phoneticPr fontId="1" type="noConversion"/>
  </si>
  <si>
    <t>方琦</t>
    <phoneticPr fontId="1" type="noConversion"/>
  </si>
  <si>
    <t>09/04 - 0.5H</t>
  </si>
  <si>
    <t>Bug</t>
  </si>
  <si>
    <t>Emp020人員 在清單顯示沒有職務，但是點編輯，職務欄位卻又有職務</t>
    <phoneticPr fontId="1" type="noConversion"/>
  </si>
  <si>
    <t>李翊華、方琦</t>
    <phoneticPr fontId="1" type="noConversion"/>
  </si>
  <si>
    <t>#16</t>
    <phoneticPr fontId="1" type="noConversion"/>
  </si>
  <si>
    <t>勿動</t>
    <phoneticPr fontId="1" type="noConversion"/>
  </si>
  <si>
    <t>編號</t>
  </si>
  <si>
    <t>處理人員</t>
    <phoneticPr fontId="1" type="noConversion"/>
  </si>
  <si>
    <t>預計完成日</t>
    <phoneticPr fontId="1" type="noConversion"/>
  </si>
  <si>
    <t>內部確認</t>
    <phoneticPr fontId="1" type="noConversion"/>
  </si>
  <si>
    <t>客戶確認</t>
    <phoneticPr fontId="1" type="noConversion"/>
  </si>
  <si>
    <t>ppt POC  PEP</t>
    <phoneticPr fontId="1" type="noConversion"/>
  </si>
  <si>
    <t>規格書文件</t>
    <phoneticPr fontId="1" type="noConversion"/>
  </si>
  <si>
    <t>docx 、客服單</t>
    <phoneticPr fontId="1" type="noConversion"/>
  </si>
  <si>
    <t>程式交付</t>
    <phoneticPr fontId="1" type="noConversion"/>
  </si>
  <si>
    <t>程式版控</t>
    <phoneticPr fontId="1" type="noConversion"/>
  </si>
  <si>
    <t>git</t>
    <phoneticPr fontId="1" type="noConversion"/>
  </si>
  <si>
    <t>測試/操作手冊</t>
    <phoneticPr fontId="1" type="noConversion"/>
  </si>
  <si>
    <t>docx、客服單</t>
    <phoneticPr fontId="1" type="noConversion"/>
  </si>
  <si>
    <t>結案會議</t>
    <phoneticPr fontId="1" type="noConversion"/>
  </si>
  <si>
    <t>表單</t>
    <phoneticPr fontId="1" type="noConversion"/>
  </si>
  <si>
    <t>表單建置</t>
    <phoneticPr fontId="1" type="noConversion"/>
  </si>
  <si>
    <t>表單建置-30.客戶授信額度申請(變更)表</t>
  </si>
  <si>
    <t>3.2.13</t>
  </si>
  <si>
    <t>需確認哪5張表單</t>
    <phoneticPr fontId="1" type="noConversion"/>
  </si>
  <si>
    <t>1.用印申請單</t>
    <phoneticPr fontId="1" type="noConversion"/>
  </si>
  <si>
    <t>3.3.2</t>
  </si>
  <si>
    <t>3.3.3</t>
  </si>
  <si>
    <t>2.防火牆規則申請單</t>
    <phoneticPr fontId="1" type="noConversion"/>
  </si>
  <si>
    <t>1/22、1/30 已談過</t>
    <phoneticPr fontId="1" type="noConversion"/>
  </si>
  <si>
    <t>3.3.4</t>
  </si>
  <si>
    <t>防火牆規則申請單上線測試報告</t>
    <phoneticPr fontId="1" type="noConversion"/>
  </si>
  <si>
    <t>3.3.5</t>
  </si>
  <si>
    <t>3.教育訓練申請單(一般/特殊/委外)</t>
    <phoneticPr fontId="1" type="noConversion"/>
  </si>
  <si>
    <t>3.3.6</t>
  </si>
  <si>
    <t>3.3.7</t>
  </si>
  <si>
    <t>4.客戶授信額度申請(變更)表</t>
    <phoneticPr fontId="1" type="noConversion"/>
  </si>
  <si>
    <t>3.3.8</t>
  </si>
  <si>
    <t>3.3.9</t>
  </si>
  <si>
    <t>5.維運電腦使用紀錄</t>
    <phoneticPr fontId="1" type="noConversion"/>
  </si>
  <si>
    <t>1/30 已談過</t>
    <phoneticPr fontId="1" type="noConversion"/>
  </si>
  <si>
    <t>3.3.10</t>
  </si>
  <si>
    <t>標準表單開發</t>
    <phoneticPr fontId="1" type="noConversion"/>
  </si>
  <si>
    <t>表單初版建置-30 客戶授信額度申請 (變更) 表</t>
  </si>
  <si>
    <t>表單調整</t>
    <phoneticPr fontId="1" type="noConversion"/>
  </si>
  <si>
    <t>4.2.2</t>
  </si>
  <si>
    <t>表單調整-12 標準變更申請單</t>
    <phoneticPr fontId="1" type="noConversion"/>
  </si>
  <si>
    <t>表單調整-15 資產設備需求單</t>
  </si>
  <si>
    <t>表單調整-16 軟體需求申請單 (併至15資產設備)</t>
  </si>
  <si>
    <t>表單調整-19 資安證照補助申請單</t>
  </si>
  <si>
    <t>表單調整-28 變更暨上線申請單</t>
  </si>
  <si>
    <t>表單調整-23 資訊服務請求單</t>
  </si>
  <si>
    <t>表單調整-6 財產異動單 (待討論)</t>
  </si>
  <si>
    <t>表單調整-27 矯正預防單</t>
  </si>
  <si>
    <t>4.2.15</t>
    <phoneticPr fontId="1" type="noConversion"/>
  </si>
  <si>
    <t>測試</t>
    <phoneticPr fontId="1" type="noConversion"/>
  </si>
  <si>
    <t>SA姓名、PG姓名、QC姓名</t>
    <phoneticPr fontId="1" type="noConversion"/>
  </si>
  <si>
    <t>4.1.2</t>
    <phoneticPr fontId="1" type="noConversion"/>
  </si>
  <si>
    <t>SA姓名、PG姓名、客戶-客戶姓名</t>
    <phoneticPr fontId="1" type="noConversion"/>
  </si>
  <si>
    <t>客戶測試區部屬</t>
    <phoneticPr fontId="1" type="noConversion"/>
  </si>
  <si>
    <t>SA姓名、PG姓名</t>
    <phoneticPr fontId="1" type="noConversion"/>
  </si>
  <si>
    <t>程式交付確認單</t>
    <phoneticPr fontId="1" type="noConversion"/>
  </si>
  <si>
    <t>SA姓名、QC姓名</t>
    <phoneticPr fontId="1" type="noConversion"/>
  </si>
  <si>
    <t>4.2.3</t>
    <phoneticPr fontId="1" type="noConversion"/>
  </si>
  <si>
    <t>4.2.4</t>
    <phoneticPr fontId="1" type="noConversion"/>
  </si>
  <si>
    <t>4.2.5</t>
    <phoneticPr fontId="1" type="noConversion"/>
  </si>
  <si>
    <t>客戶-客戶姓名</t>
    <phoneticPr fontId="1" type="noConversion"/>
  </si>
  <si>
    <t>4.2.6</t>
    <phoneticPr fontId="1" type="noConversion"/>
  </si>
  <si>
    <t>PG姓名</t>
    <phoneticPr fontId="1" type="noConversion"/>
  </si>
  <si>
    <t>PM姓名</t>
    <phoneticPr fontId="1" type="noConversion"/>
  </si>
  <si>
    <t>2026/02/13確認</t>
    <phoneticPr fontId="1" type="noConversion"/>
  </si>
  <si>
    <t>2026/05確認</t>
    <phoneticPr fontId="1" type="noConversion"/>
  </si>
  <si>
    <t>NS 規格確認</t>
    <phoneticPr fontId="1" type="noConversion"/>
  </si>
  <si>
    <t>開發狀態</t>
    <phoneticPr fontId="1" type="noConversion"/>
  </si>
  <si>
    <t>請購單</t>
    <phoneticPr fontId="1" type="noConversion"/>
  </si>
  <si>
    <t>01.中華資安_UOF建置案_請購單(內採)規格書</t>
    <phoneticPr fontId="1" type="noConversion"/>
  </si>
  <si>
    <t>Y</t>
    <phoneticPr fontId="1" type="noConversion"/>
  </si>
  <si>
    <t>不需要</t>
    <phoneticPr fontId="1" type="noConversion"/>
  </si>
  <si>
    <t>OnGoing</t>
    <phoneticPr fontId="1" type="noConversion"/>
  </si>
  <si>
    <t>開發中</t>
    <phoneticPr fontId="1" type="noConversion"/>
  </si>
  <si>
    <t>7/15當日提供</t>
    <phoneticPr fontId="1" type="noConversion"/>
  </si>
  <si>
    <t>請轉採客製拋轉(頁面)</t>
    <phoneticPr fontId="1" type="noConversion"/>
  </si>
  <si>
    <t>02.中華資安_UOF建置案_請轉採規格書</t>
    <phoneticPr fontId="1" type="noConversion"/>
  </si>
  <si>
    <t>採購單</t>
    <phoneticPr fontId="1" type="noConversion"/>
  </si>
  <si>
    <t>03.中華資安_UOF建置案_採購單規格書</t>
    <phoneticPr fontId="1" type="noConversion"/>
  </si>
  <si>
    <t>N</t>
    <phoneticPr fontId="1" type="noConversion"/>
  </si>
  <si>
    <t>Pending</t>
    <phoneticPr fontId="1" type="noConversion"/>
  </si>
  <si>
    <t>等CHTS 確認</t>
    <phoneticPr fontId="1" type="noConversion"/>
  </si>
  <si>
    <t>採購簽呈(外採)</t>
    <phoneticPr fontId="1" type="noConversion"/>
  </si>
  <si>
    <t>04.中華資安_UOF建置案_請購單(外採)規格書</t>
    <phoneticPr fontId="1" type="noConversion"/>
  </si>
  <si>
    <t>採轉驗客製拋轉(頁面)</t>
    <phoneticPr fontId="1" type="noConversion"/>
  </si>
  <si>
    <t>05.中華資安_UOF建置案_採轉驗規格書</t>
    <phoneticPr fontId="1" type="noConversion"/>
  </si>
  <si>
    <t>驗收紀錄單</t>
    <phoneticPr fontId="1" type="noConversion"/>
  </si>
  <si>
    <t>06.中華資安_UOF建置案_驗收單規格書</t>
    <phoneticPr fontId="1" type="noConversion"/>
  </si>
  <si>
    <t>請款單(採購單請款)(ns起單bpm簽核)</t>
    <phoneticPr fontId="1" type="noConversion"/>
  </si>
  <si>
    <t>合併8</t>
    <phoneticPr fontId="1" type="noConversion"/>
  </si>
  <si>
    <t>請款單(廠商請款單)</t>
    <phoneticPr fontId="1" type="noConversion"/>
  </si>
  <si>
    <t>07.中華資安_UOF建置案_廠商請款(採購)規格書</t>
    <phoneticPr fontId="1" type="noConversion"/>
  </si>
  <si>
    <t>7/16提供</t>
    <phoneticPr fontId="1" type="noConversion"/>
  </si>
  <si>
    <t>請款單(員工費用請款單&amp;員工個人零用金)</t>
    <phoneticPr fontId="1" type="noConversion"/>
  </si>
  <si>
    <t>12.中華資安_UOF建置案_員工請款規格書</t>
    <phoneticPr fontId="1" type="noConversion"/>
  </si>
  <si>
    <t>請款單(零用金合併請款)</t>
    <phoneticPr fontId="1" type="noConversion"/>
  </si>
  <si>
    <t>13.中華資安_UOF建置案_零用金申請單規格書</t>
    <phoneticPr fontId="1" type="noConversion"/>
  </si>
  <si>
    <t>10-1</t>
    <phoneticPr fontId="1" type="noConversion"/>
  </si>
  <si>
    <t>14.零用金申請單合併(Merge)頁面(選擇13選擇完成後建立10-2表單)</t>
    <phoneticPr fontId="1" type="noConversion"/>
  </si>
  <si>
    <t>10-2</t>
    <phoneticPr fontId="1" type="noConversion"/>
  </si>
  <si>
    <t>15.零用金合併簽核</t>
    <phoneticPr fontId="1" type="noConversion"/>
  </si>
  <si>
    <t>國內/國外差旅費申請單</t>
    <phoneticPr fontId="1" type="noConversion"/>
  </si>
  <si>
    <t>9.中華資安_UOF建置案_國內外差旅費申請單規格書</t>
    <phoneticPr fontId="1" type="noConversion"/>
  </si>
  <si>
    <t>發票開立申請單</t>
    <phoneticPr fontId="1" type="noConversion"/>
  </si>
  <si>
    <t>10.中華資安_UOF建置案_發票開立申請單規格書</t>
    <phoneticPr fontId="1" type="noConversion"/>
  </si>
  <si>
    <t>7/24 confirm</t>
    <phoneticPr fontId="1" type="noConversion"/>
  </si>
  <si>
    <t>催費訪談表</t>
    <phoneticPr fontId="1" type="noConversion"/>
  </si>
  <si>
    <t>11.中華資安_UOF建置案_催費訪談表規格書</t>
    <phoneticPr fontId="1" type="noConversion"/>
  </si>
  <si>
    <t>7/15當日提供，待政庭提供savedsearch</t>
    <phoneticPr fontId="1" type="noConversion"/>
  </si>
  <si>
    <t>非消耗品增加單</t>
    <phoneticPr fontId="1" type="noConversion"/>
  </si>
  <si>
    <t>中華資安_UOF建置案_標準表單規格書</t>
    <phoneticPr fontId="1" type="noConversion"/>
  </si>
  <si>
    <t>已完成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</si>
</sst>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m&quot;月&quot;d&quot;日&quot;"/>
    <numFmt numFmtId="178" formatCode="0.0_);[Red]\(0.0\)"/>
  </numFmts>
  <fonts count="2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0"/>
      <name val="微軟正黑體"/>
      <family val="2"/>
      <charset val="136"/>
    </font>
    <font>
      <b/>
      <sz val="14"/>
      <name val="Calibri"/>
      <family val="2"/>
    </font>
    <font>
      <b/>
      <sz val="14"/>
      <name val="細明體"/>
      <family val="2"/>
      <charset val="136"/>
    </font>
    <font>
      <sz val="14"/>
      <name val="Calibri"/>
      <family val="2"/>
    </font>
    <font>
      <b/>
      <sz val="12"/>
      <color theme="1"/>
      <name val="新細明體"/>
      <family val="2"/>
      <charset val="136"/>
      <scheme val="minor"/>
    </font>
    <font>
      <b/>
      <sz val="12"/>
      <name val="微軟正黑體"/>
      <family val="2"/>
      <charset val="136"/>
    </font>
    <font>
      <b/>
      <sz val="14"/>
      <color theme="1"/>
      <name val="Calibri"/>
      <family val="2"/>
    </font>
    <font>
      <b/>
      <sz val="14"/>
      <name val="Calibri"/>
      <family val="2"/>
      <charset val="2"/>
    </font>
    <font>
      <sz val="14"/>
      <name val="細明體"/>
      <family val="2"/>
      <charset val="136"/>
    </font>
    <font>
      <sz val="12"/>
      <color theme="8" tint="-0.249977111117893"/>
      <name val="微軟正黑體"/>
      <family val="2"/>
      <charset val="136"/>
    </font>
    <font>
      <strike/>
      <sz val="12"/>
      <color theme="1"/>
      <name val="微軟正黑體"/>
      <family val="2"/>
      <charset val="136"/>
    </font>
    <font>
      <strike/>
      <sz val="12"/>
      <color rgb="FFFF0000"/>
      <name val="微軟正黑體"/>
      <family val="2"/>
      <charset val="136"/>
    </font>
    <font>
      <strike/>
      <sz val="12"/>
      <name val="微軟正黑體"/>
      <family val="2"/>
      <charset val="136"/>
    </font>
    <font>
      <strike/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rgb="FFFF0000"/>
      <name val="新細明體"/>
      <family val="2"/>
      <charset val="136"/>
      <scheme val="minor"/>
    </font>
    <font>
      <sz val="12"/>
      <color theme="1"/>
      <name val="Microsoft JhengHei UI"/>
      <family val="2"/>
      <charset val="136"/>
    </font>
    <font>
      <sz val="12"/>
      <color rgb="FFFF0000"/>
      <name val="新細明體"/>
      <family val="1"/>
      <charset val="136"/>
      <scheme val="minor"/>
    </font>
    <font>
      <sz val="12"/>
      <color rgb="FF000000"/>
      <name val="微軟正黑體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4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14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176" fontId="5" fillId="0" borderId="14" xfId="0" applyNumberFormat="1" applyFont="1" applyBorder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right" vertical="center"/>
    </xf>
    <xf numFmtId="176" fontId="2" fillId="0" borderId="10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/>
    </xf>
    <xf numFmtId="0" fontId="0" fillId="0" borderId="0" xfId="0" applyAlignment="1"/>
    <xf numFmtId="0" fontId="10" fillId="4" borderId="11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8" xfId="0" applyFont="1" applyFill="1" applyBorder="1">
      <alignment vertical="center"/>
    </xf>
    <xf numFmtId="0" fontId="10" fillId="4" borderId="19" xfId="0" applyFont="1" applyFill="1" applyBorder="1">
      <alignment vertical="center"/>
    </xf>
    <xf numFmtId="0" fontId="8" fillId="4" borderId="0" xfId="0" applyFont="1" applyFill="1">
      <alignment vertical="center"/>
    </xf>
    <xf numFmtId="0" fontId="13" fillId="0" borderId="0" xfId="1" applyFont="1">
      <alignment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/>
    </xf>
    <xf numFmtId="0" fontId="3" fillId="2" borderId="20" xfId="0" applyFont="1" applyFill="1" applyBorder="1" applyAlignment="1">
      <alignment horizontal="center" vertical="center"/>
    </xf>
    <xf numFmtId="176" fontId="3" fillId="0" borderId="7" xfId="0" applyNumberFormat="1" applyFont="1" applyBorder="1" applyAlignment="1">
      <alignment horizontal="right" vertical="center"/>
    </xf>
    <xf numFmtId="176" fontId="3" fillId="0" borderId="2" xfId="0" applyNumberFormat="1" applyFont="1" applyBorder="1" applyAlignment="1">
      <alignment horizontal="right" vertical="center"/>
    </xf>
    <xf numFmtId="0" fontId="14" fillId="0" borderId="0" xfId="0" applyFont="1">
      <alignment vertical="center"/>
    </xf>
    <xf numFmtId="0" fontId="2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176" fontId="15" fillId="0" borderId="1" xfId="0" applyNumberFormat="1" applyFont="1" applyBorder="1" applyAlignment="1">
      <alignment horizontal="right" vertical="center"/>
    </xf>
    <xf numFmtId="0" fontId="11" fillId="0" borderId="21" xfId="1" applyFont="1" applyBorder="1">
      <alignment vertical="center"/>
    </xf>
    <xf numFmtId="0" fontId="12" fillId="0" borderId="21" xfId="1" applyFont="1" applyBorder="1">
      <alignment vertical="center"/>
    </xf>
    <xf numFmtId="0" fontId="11" fillId="0" borderId="21" xfId="1" applyFont="1" applyBorder="1" applyAlignment="1">
      <alignment horizontal="center" vertical="center"/>
    </xf>
    <xf numFmtId="0" fontId="12" fillId="0" borderId="21" xfId="1" applyFont="1" applyBorder="1" applyAlignment="1">
      <alignment vertical="center" wrapText="1"/>
    </xf>
    <xf numFmtId="0" fontId="13" fillId="0" borderId="21" xfId="1" applyFont="1" applyBorder="1">
      <alignment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/>
    </xf>
    <xf numFmtId="14" fontId="16" fillId="0" borderId="21" xfId="1" applyNumberFormat="1" applyFont="1" applyBorder="1">
      <alignment vertical="center"/>
    </xf>
    <xf numFmtId="0" fontId="2" fillId="0" borderId="9" xfId="0" applyFont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178" fontId="3" fillId="0" borderId="5" xfId="0" applyNumberFormat="1" applyFont="1" applyBorder="1" applyAlignment="1">
      <alignment horizontal="right" vertical="center"/>
    </xf>
    <xf numFmtId="178" fontId="5" fillId="0" borderId="2" xfId="0" applyNumberFormat="1" applyFont="1" applyBorder="1" applyAlignment="1">
      <alignment horizontal="right" vertical="center"/>
    </xf>
    <xf numFmtId="178" fontId="5" fillId="0" borderId="10" xfId="0" applyNumberFormat="1" applyFont="1" applyBorder="1" applyAlignment="1">
      <alignment horizontal="right" vertical="center"/>
    </xf>
    <xf numFmtId="0" fontId="17" fillId="0" borderId="21" xfId="1" applyFont="1" applyBorder="1" applyAlignment="1">
      <alignment vertical="center" wrapText="1"/>
    </xf>
    <xf numFmtId="0" fontId="11" fillId="0" borderId="21" xfId="1" applyFont="1" applyBorder="1" applyAlignment="1">
      <alignment vertical="center" wrapText="1"/>
    </xf>
    <xf numFmtId="0" fontId="13" fillId="0" borderId="21" xfId="1" applyFont="1" applyBorder="1" applyAlignment="1">
      <alignment vertical="center" wrapText="1"/>
    </xf>
    <xf numFmtId="176" fontId="2" fillId="0" borderId="13" xfId="0" applyNumberFormat="1" applyFont="1" applyBorder="1" applyAlignment="1">
      <alignment horizontal="left" vertical="center"/>
    </xf>
    <xf numFmtId="178" fontId="3" fillId="0" borderId="2" xfId="0" applyNumberFormat="1" applyFont="1" applyBorder="1" applyAlignment="1">
      <alignment horizontal="right" vertical="center"/>
    </xf>
    <xf numFmtId="0" fontId="3" fillId="0" borderId="13" xfId="0" applyFont="1" applyBorder="1" applyAlignment="1">
      <alignment horizontal="left" vertical="center" wrapText="1"/>
    </xf>
    <xf numFmtId="178" fontId="15" fillId="0" borderId="2" xfId="0" applyNumberFormat="1" applyFont="1" applyBorder="1" applyAlignment="1">
      <alignment horizontal="right" vertical="center"/>
    </xf>
    <xf numFmtId="0" fontId="3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3" fillId="2" borderId="3" xfId="0" quotePrefix="1" applyFont="1" applyFill="1" applyBorder="1" applyAlignment="1">
      <alignment horizontal="left" vertical="center"/>
    </xf>
    <xf numFmtId="0" fontId="2" fillId="2" borderId="3" xfId="0" quotePrefix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77" fontId="2" fillId="2" borderId="3" xfId="0" quotePrefix="1" applyNumberFormat="1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176" fontId="2" fillId="0" borderId="13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3" xfId="0" applyNumberFormat="1" applyFont="1" applyBorder="1" applyAlignment="1">
      <alignment horizontal="left" vertical="center"/>
    </xf>
    <xf numFmtId="0" fontId="2" fillId="2" borderId="25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right" vertical="center"/>
    </xf>
    <xf numFmtId="0" fontId="2" fillId="2" borderId="1" xfId="0" quotePrefix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176" fontId="15" fillId="6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 wrapText="1"/>
    </xf>
    <xf numFmtId="0" fontId="20" fillId="2" borderId="3" xfId="0" quotePrefix="1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20" fillId="2" borderId="20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76" fontId="20" fillId="0" borderId="1" xfId="0" applyNumberFormat="1" applyFont="1" applyBorder="1" applyAlignment="1">
      <alignment horizontal="right" vertical="center"/>
    </xf>
    <xf numFmtId="176" fontId="22" fillId="0" borderId="1" xfId="0" applyNumberFormat="1" applyFont="1" applyBorder="1" applyAlignment="1">
      <alignment horizontal="right" vertical="center"/>
    </xf>
    <xf numFmtId="178" fontId="22" fillId="0" borderId="2" xfId="0" applyNumberFormat="1" applyFont="1" applyBorder="1" applyAlignment="1">
      <alignment horizontal="right" vertical="center"/>
    </xf>
    <xf numFmtId="176" fontId="20" fillId="0" borderId="2" xfId="0" applyNumberFormat="1" applyFont="1" applyBorder="1" applyAlignment="1">
      <alignment horizontal="right" vertical="center"/>
    </xf>
    <xf numFmtId="0" fontId="20" fillId="0" borderId="13" xfId="0" applyFont="1" applyBorder="1" applyAlignment="1">
      <alignment horizontal="left" vertical="center"/>
    </xf>
    <xf numFmtId="0" fontId="23" fillId="0" borderId="0" xfId="0" applyFont="1">
      <alignment vertical="center"/>
    </xf>
    <xf numFmtId="176" fontId="20" fillId="0" borderId="13" xfId="0" applyNumberFormat="1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right" vertical="center"/>
    </xf>
    <xf numFmtId="178" fontId="4" fillId="0" borderId="2" xfId="0" applyNumberFormat="1" applyFont="1" applyBorder="1" applyAlignment="1">
      <alignment horizontal="right" vertical="center"/>
    </xf>
    <xf numFmtId="176" fontId="4" fillId="0" borderId="2" xfId="0" applyNumberFormat="1" applyFont="1" applyBorder="1" applyAlignment="1">
      <alignment horizontal="right" vertical="center"/>
    </xf>
    <xf numFmtId="0" fontId="25" fillId="0" borderId="0" xfId="0" applyFont="1">
      <alignment vertical="center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176" fontId="5" fillId="6" borderId="1" xfId="0" applyNumberFormat="1" applyFont="1" applyFill="1" applyBorder="1" applyAlignment="1">
      <alignment horizontal="right" vertical="center"/>
    </xf>
    <xf numFmtId="178" fontId="5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left" vertical="center"/>
    </xf>
    <xf numFmtId="178" fontId="15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left" vertical="center"/>
    </xf>
    <xf numFmtId="176" fontId="5" fillId="0" borderId="13" xfId="0" applyNumberFormat="1" applyFont="1" applyBorder="1" applyAlignment="1">
      <alignment horizontal="left" vertical="center"/>
    </xf>
    <xf numFmtId="176" fontId="5" fillId="0" borderId="13" xfId="0" applyNumberFormat="1" applyFont="1" applyBorder="1" applyAlignment="1">
      <alignment horizontal="left" vertical="center" wrapText="1"/>
    </xf>
    <xf numFmtId="176" fontId="15" fillId="8" borderId="1" xfId="0" applyNumberFormat="1" applyFont="1" applyFill="1" applyBorder="1" applyAlignment="1">
      <alignment horizontal="right" vertical="center"/>
    </xf>
    <xf numFmtId="176" fontId="5" fillId="8" borderId="1" xfId="0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77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76" fontId="28" fillId="0" borderId="13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2">
    <cellStyle name="一般" xfId="0" builtinId="0"/>
    <cellStyle name="一般 2" xfId="1" xr:uid="{7615BCE9-52AC-4EED-9152-A5E505200350}"/>
  </cellStyles>
  <dxfs count="1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8" formatCode="0.0_);[Red]\(0.0\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8" formatCode="0.0_);[Red]\(0.0\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8" formatCode="0.0_);[Red]\(0.0\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8" formatCode="0.0_);[Red]\(0.0\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6" formatCode="yyyy/mm/dd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B05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8" formatCode="0.0_);[Red]\(0.0\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8" formatCode="0.0_);[Red]\(0.0\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8" formatCode="0.0_);[Red]\(0.0\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8" formatCode="0.0_);[Red]\(0.0\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6" formatCode="yyyy/mm/dd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6" formatCode="yyyy/mm/dd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yyyy/mm/dd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FFF99"/>
      <color rgb="FFFFFF6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198120</xdr:colOff>
      <xdr:row>0</xdr:row>
      <xdr:rowOff>202528</xdr:rowOff>
    </xdr:from>
    <xdr:to>
      <xdr:col>12</xdr:col>
      <xdr:colOff>445638</xdr:colOff>
      <xdr:row>18</xdr:row>
      <xdr:rowOff>161036</xdr:rowOff>
    </xdr:to>
    <xdr:pic>
      <xdr:nvPicPr>
        <xdr:cNvPr id="5" name="圖片 1">
          <a:extLst>
            <a:ext uri="{FF2B5EF4-FFF2-40B4-BE49-F238E27FC236}">
              <a16:creationId xmlns:a16="http://schemas.microsoft.com/office/drawing/2014/main" id="{373AEBE2-E25B-59B4-91E4-D0576F700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202528"/>
          <a:ext cx="7791318" cy="33970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331305</xdr:colOff>
      <xdr:row>25</xdr:row>
      <xdr:rowOff>19879</xdr:rowOff>
    </xdr:from>
    <xdr:to>
      <xdr:col>6</xdr:col>
      <xdr:colOff>314217</xdr:colOff>
      <xdr:row>56</xdr:row>
      <xdr:rowOff>17924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ABB3C61-95DB-473C-B85B-CF59DBA20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4157" y="5155096"/>
          <a:ext cx="9476190" cy="63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689113</xdr:colOff>
      <xdr:row>60</xdr:row>
      <xdr:rowOff>106017</xdr:rowOff>
    </xdr:from>
    <xdr:to>
      <xdr:col>7</xdr:col>
      <xdr:colOff>447412</xdr:colOff>
      <xdr:row>93</xdr:row>
      <xdr:rowOff>93245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0C7A649-C63D-B548-9AE1-60396EC3B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1965" y="12430539"/>
          <a:ext cx="10057143" cy="6761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General/&#23560;&#26696;&#26178;&#31243;/20250822&#20154;&#21729;&#26178;&#31243;.xlsm" TargetMode="External"/><Relationship Id="rId2" Type="http://schemas.openxmlformats.org/officeDocument/2006/relationships/externalLinkPath" Target="https://yajia.sharepoint.com/sites/msteams_908e03/Shared%20Documents/General/&#23560;&#26696;&#26178;&#31243;/20250822&#20154;&#21729;&#26178;&#31243;.xlsm" TargetMode="External"/><Relationship Id="rId1" Type="http://schemas.openxmlformats.org/officeDocument/2006/relationships/externalLinkPath" Target="/sites/msteams_908e03/Shared%20Documents/General/&#23560;&#26696;&#26178;&#31243;/20250822&#20154;&#21729;&#26178;&#3124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時程表"/>
      <sheetName val="組織人員設定"/>
      <sheetName val="假日補班設定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983BD8-7A7D-4E25-A863-84C3C8C22D7D}" name="表格4_24" displayName="表格4_24" ref="A1:O183" totalsRowShown="0" dataDxfId="99" tableBorderDxfId="98">
  <autoFilter ref="A1:O183" xr:uid="{694C97E6-C339-4C5F-A057-8DB8842D67E2}"/>
  <tableColumns count="15">
    <tableColumn id="1" xr3:uid="{FA5ED7E7-DFF1-427A-90EE-59A85FF02062}" name="項次" dataDxfId="97">
      <calculatedColumnFormula>IF(C2="","",ROW()-1)</calculatedColumnFormula>
    </tableColumn>
    <tableColumn id="15" xr3:uid="{18C83A2C-1FF1-4C0D-8A19-CC88490D9559}" name="工作代號" dataDxfId="96"/>
    <tableColumn id="2" xr3:uid="{4D7D5C01-8B53-44FD-A39D-5DB936426818}" name="工作說明" dataDxfId="95"/>
    <tableColumn id="3" xr3:uid="{90BB4C0A-8E94-4707-99E0-C989AEE9EF07}" name="計畫人天" dataDxfId="94"/>
    <tableColumn id="4" xr3:uid="{BDDFD99E-2826-4E77-999A-E2B609DA5497}" name="負責人員" dataDxfId="93"/>
    <tableColumn id="5" xr3:uid="{0F975653-0C80-4844-9361-309F62336B57}" name="預計開始日" dataDxfId="92"/>
    <tableColumn id="6" xr3:uid="{B57C4F01-EEB6-4EA1-BC38-0391A5B4BD90}" name="預計完成日" dataDxfId="91"/>
    <tableColumn id="7" xr3:uid="{E22B1790-97F3-4569-991F-BA8EC1C2941C}" name="實際開始日" dataDxfId="90"/>
    <tableColumn id="12" xr3:uid="{C7EB678D-5417-48D5-9AB3-5A4F60302952}" name="實際完成日" dataDxfId="89"/>
    <tableColumn id="8" xr3:uid="{E4A1432B-422D-4AF6-8405-B0ABE79F8808}" name="處理時間_x000a_(PM)" dataDxfId="88"/>
    <tableColumn id="11" xr3:uid="{35F04904-BFB5-4090-BDED-D37EC87D7C97}" name="處理時間_x000a_(SA)" dataDxfId="87"/>
    <tableColumn id="14" xr3:uid="{FE5F90F4-D95A-41A9-88F2-330E14A72D81}" name="處理時間_x000a_(PG)" dataDxfId="86"/>
    <tableColumn id="10" xr3:uid="{A5F35AE9-4E9E-4D1E-8384-BA83875F2033}" name="處理時間_x000a_(QC)" dataDxfId="85"/>
    <tableColumn id="13" xr3:uid="{0AB43BD7-EE9C-4760-939F-91A1500EE585}" name="狀態(如期or延遲)" dataDxfId="84"/>
    <tableColumn id="9" xr3:uid="{45FE0102-BFEE-4D43-8B72-6823E9D1A4D0}" name="備註" dataDxfId="8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70157B-9CE4-4CEE-835A-0E0802BA57D7}" name="表格6" displayName="表格6" ref="A1:O20" totalsRowShown="0" headerRowDxfId="74" dataDxfId="73" headerRowBorderDxfId="71" tableBorderDxfId="72" totalsRowBorderDxfId="70">
  <autoFilter ref="A1:O20" xr:uid="{6270157B-9CE4-4CEE-835A-0E0802BA57D7}"/>
  <tableColumns count="15">
    <tableColumn id="1" xr3:uid="{64709E57-1FC0-493C-B0FA-BCB3707A90BB}" name="項次" dataDxfId="69">
      <calculatedColumnFormula>IF(E2="","",ROW()-1)</calculatedColumnFormula>
    </tableColumn>
    <tableColumn id="2" xr3:uid="{9E00ACCA-8F3A-4B7A-9E71-6B94FB1FC627}" name="提報人" dataDxfId="68"/>
    <tableColumn id="12" xr3:uid="{B9734491-063D-48E2-90D3-9D11F78E4759}" name="提報日期" dataDxfId="67"/>
    <tableColumn id="3" xr3:uid="{5FFBCAD0-6354-47DE-83AC-9C54B1C5B103}" name="類型" dataDxfId="66"/>
    <tableColumn id="4" xr3:uid="{EA9E7C3F-2F4C-4351-BBB7-3AD2A9CED491}" name="需求說明" dataDxfId="65"/>
    <tableColumn id="13" xr3:uid="{D226F8F3-AE6A-4B17-969A-C6F792408412}" name="解決方案" dataDxfId="64"/>
    <tableColumn id="5" xr3:uid="{53C0080F-C295-4D94-AC7A-A11D9A7F7DD1}" name="處理人員" dataDxfId="63"/>
    <tableColumn id="6" xr3:uid="{20393CE7-6BBC-4C31-B54F-E39F7F068A46}" name="狀態" dataDxfId="62">
      <calculatedColumnFormula>IF($N2&lt;&gt;"","已確認",IF($K2&lt;&gt;"","Uat已完成",IF($J2&lt;&gt;"","修改完成",IF(AND(TODAY()&gt;$I2,$I2&lt;&gt;""),"已逾期",IF(AND(TODAY()&lt;=$I2,$I2&lt;&gt;""),"進行中","")))))</calculatedColumnFormula>
    </tableColumn>
    <tableColumn id="7" xr3:uid="{AE7239B8-4E8F-47AB-9268-C9AB87D2E95F}" name="預計完成日" dataDxfId="61"/>
    <tableColumn id="8" xr3:uid="{8BE22D3D-1454-4387-954C-D21B22063D9C}" name="實際完成日" dataDxfId="60"/>
    <tableColumn id="9" xr3:uid="{014A88C5-793E-44F7-83DA-2B157CA34A9A}" name="內部Uat確認" dataDxfId="59"/>
    <tableColumn id="15" xr3:uid="{2A093FE6-D6E8-4B0C-B871-294BF78392FF}" name="部版版號" dataDxfId="58"/>
    <tableColumn id="14" xr3:uid="{086FC3CD-EECF-4310-A039-85B3ED8CF0CD}" name="客戶UAT日" dataDxfId="57"/>
    <tableColumn id="10" xr3:uid="{903E005F-549A-4A80-8FEC-A987212DFA75}" name="客戶確認日" dataDxfId="56"/>
    <tableColumn id="11" xr3:uid="{83C3B3BD-2522-45B4-BBA1-230F823774D9}" name="備註" dataDxfId="5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93CEF5-4641-4BBD-BF80-703A994BC60E}" name="表格6_3" displayName="表格6_3" ref="A2:K19" totalsRowShown="0" headerRowDxfId="52" dataDxfId="51" headerRowBorderDxfId="49" tableBorderDxfId="50" totalsRowBorderDxfId="48">
  <autoFilter ref="A2:K19" xr:uid="{4A93CEF5-4641-4BBD-BF80-703A994BC60E}"/>
  <tableColumns count="11">
    <tableColumn id="1" xr3:uid="{BFA9E93A-0C48-434E-8308-9201AB061D6C}" name="編號" dataDxfId="47">
      <calculatedColumnFormula>IF(B3="","",ROW()-2)</calculatedColumnFormula>
    </tableColumn>
    <tableColumn id="4" xr3:uid="{2AA8B1C8-8CB6-4304-888D-301441D1962D}" name="需求說明" dataDxfId="46"/>
    <tableColumn id="5" xr3:uid="{4CAED1A7-66A9-481F-A6A2-C68EFC36764F}" name="處理人員" dataDxfId="45"/>
    <tableColumn id="6" xr3:uid="{804CDB59-6427-4C7F-BEF8-78B45C225CC3}" name="狀態" dataDxfId="44">
      <calculatedColumnFormula>IF($J3&lt;&gt;"","已確認",IF($G3&lt;&gt;"","Uat已完成",IF($F3&lt;&gt;"","修改完成",IF(AND(TODAY()&gt;$E3,$E3&lt;&gt;""),"已逾期",IF(AND(TODAY()&lt;=$E3,$E3&lt;&gt;""),"進行中","")))))</calculatedColumnFormula>
    </tableColumn>
    <tableColumn id="7" xr3:uid="{91335AF2-A31C-400B-8D38-6CB7DB341A8F}" name="預計完成日" dataDxfId="43"/>
    <tableColumn id="8" xr3:uid="{1468C2F2-11AB-4EC6-8880-2054F37C463B}" name="實際完成日" dataDxfId="42"/>
    <tableColumn id="9" xr3:uid="{805C06B2-1377-47EA-9D58-9B3B6F897035}" name="內部確認" dataDxfId="41"/>
    <tableColumn id="15" xr3:uid="{BC7DE44E-B7B3-4EDA-9C10-53384768CDA0}" name="部版版號" dataDxfId="40"/>
    <tableColumn id="14" xr3:uid="{271E0E26-DF5D-4043-B243-6F7AC5EBFBBF}" name="客戶UAT日" dataDxfId="39"/>
    <tableColumn id="10" xr3:uid="{93B7036C-2039-40F0-9D30-86A5F20DC2B9}" name="客戶確認" dataDxfId="38"/>
    <tableColumn id="11" xr3:uid="{47B8BB1A-C155-4CBB-A4AC-E3E8E68EFF35}" name="備註" dataDxfId="37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03295C-EF49-44BE-A908-21038970E5AF}" name="表格4_2" displayName="表格4_2" ref="A1:O173" totalsRowShown="0" dataDxfId="16" tableBorderDxfId="15">
  <autoFilter ref="A1:O173" xr:uid="{694C97E6-C339-4C5F-A057-8DB8842D67E2}"/>
  <tableColumns count="15">
    <tableColumn id="1" xr3:uid="{EA4A9FC7-FABC-4247-BA0A-B22C6F5700EE}" name="項次" dataDxfId="14">
      <calculatedColumnFormula>IF(C2="","",ROW()-1)</calculatedColumnFormula>
    </tableColumn>
    <tableColumn id="15" xr3:uid="{492B3E46-4C57-4B2C-8F3B-1E0B9ED3E491}" name="工作代號" dataDxfId="13"/>
    <tableColumn id="2" xr3:uid="{88749BC3-D25C-4D3A-856B-1634BB53A1DF}" name="工作說明" dataDxfId="12"/>
    <tableColumn id="3" xr3:uid="{B40A7971-6B7D-4C05-814F-7C60981FE929}" name="計畫人天" dataDxfId="11"/>
    <tableColumn id="4" xr3:uid="{14CF2C9E-6E98-435A-8C52-202F1D1A64AD}" name="負責人員" dataDxfId="10"/>
    <tableColumn id="5" xr3:uid="{F9302CE7-5661-4AF3-91F2-9F19B4296B3B}" name="預計開始日" dataDxfId="9"/>
    <tableColumn id="6" xr3:uid="{F75A10CA-0206-438D-8604-5FA71B876C67}" name="預計完成日" dataDxfId="8"/>
    <tableColumn id="7" xr3:uid="{FC92BCCD-F3CC-4C2F-AB9F-CCCA8D5DA726}" name="實際開始日" dataDxfId="7"/>
    <tableColumn id="12" xr3:uid="{6391B1E6-02FA-489A-A16A-5305866D82D8}" name="實際完成日" dataDxfId="6"/>
    <tableColumn id="8" xr3:uid="{9F504B45-FD7B-4933-B429-F8D57BC5B8B5}" name="處理時間_x000a_(PM)" dataDxfId="5"/>
    <tableColumn id="11" xr3:uid="{0B68DE13-AD61-44FE-9ACE-86C3E1C40BF5}" name="處理時間_x000a_(SA)" dataDxfId="4"/>
    <tableColumn id="14" xr3:uid="{DC7B702C-1E90-4F12-9AA5-17296921726F}" name="處理時間_x000a_(PG)" dataDxfId="3"/>
    <tableColumn id="10" xr3:uid="{1466C394-D5C6-44CD-A66C-7151F39BE3E9}" name="處理時間_x000a_(QC)" dataDxfId="2"/>
    <tableColumn id="13" xr3:uid="{E861389F-F0FB-4250-8080-B1CC554C5E98}" name="狀態(如期or延遲)" dataDxfId="1"/>
    <tableColumn id="9" xr3:uid="{DE09E5D4-3AF8-4643-9EF5-24E556543637}" name="備註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8C7C-E387-4321-BAC6-891CA1BD15AF}">
  <dimension ref="A1:N6"/>
  <sheetViews>
    <sheetView topLeftCell="A4" workbookViewId="0">
      <selection activeCell="F11" sqref="F11"/>
    </sheetView>
  </sheetViews>
  <sheetFormatPr defaultColWidth="8.875" defaultRowHeight="16.149999999999999"/>
  <cols>
    <col min="1" max="1" width="6.875" style="27" bestFit="1" customWidth="1"/>
    <col min="2" max="2" width="28.375" style="27" bestFit="1" customWidth="1"/>
    <col min="3" max="3" width="14.875" style="27" bestFit="1" customWidth="1"/>
    <col min="4" max="4" width="15.625" style="27" bestFit="1" customWidth="1"/>
    <col min="5" max="5" width="12.125" style="27" customWidth="1"/>
    <col min="6" max="6" width="29" style="27" customWidth="1"/>
    <col min="7" max="7" width="46.875" style="27" customWidth="1"/>
    <col min="8" max="8" width="46.25" style="27" customWidth="1"/>
    <col min="9" max="16384" width="8.875" style="27"/>
  </cols>
  <sheetData>
    <row r="1" spans="1:14" s="33" customFormat="1">
      <c r="A1" s="49" t="s">
        <v>0</v>
      </c>
      <c r="B1" s="50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28"/>
      <c r="J1" s="28"/>
      <c r="K1" s="29"/>
      <c r="L1" s="30"/>
      <c r="M1" s="31"/>
      <c r="N1" s="32"/>
    </row>
    <row r="2" spans="1:14" s="34" customFormat="1" ht="79.150000000000006">
      <c r="A2" s="44">
        <v>1</v>
      </c>
      <c r="B2" s="45" t="s">
        <v>8</v>
      </c>
      <c r="C2" s="52">
        <v>46036</v>
      </c>
      <c r="D2" s="52">
        <v>46036</v>
      </c>
      <c r="E2" s="46"/>
      <c r="F2" s="47"/>
      <c r="G2" s="44"/>
      <c r="H2" s="60" t="s">
        <v>9</v>
      </c>
    </row>
    <row r="3" spans="1:14" s="34" customFormat="1" ht="19.899999999999999">
      <c r="A3" s="44">
        <v>2</v>
      </c>
      <c r="B3" s="45" t="s">
        <v>10</v>
      </c>
      <c r="C3" s="52">
        <v>46024</v>
      </c>
      <c r="D3" s="52">
        <v>46057</v>
      </c>
      <c r="E3" s="46"/>
      <c r="F3" s="47"/>
      <c r="G3" s="44"/>
      <c r="H3" s="48"/>
    </row>
    <row r="4" spans="1:14" s="34" customFormat="1" ht="158.44999999999999">
      <c r="A4" s="44">
        <v>3</v>
      </c>
      <c r="B4" s="45" t="s">
        <v>11</v>
      </c>
      <c r="C4" s="52">
        <v>46058</v>
      </c>
      <c r="D4" s="52">
        <v>46129</v>
      </c>
      <c r="E4" s="46"/>
      <c r="F4" s="47"/>
      <c r="G4" s="58" t="s">
        <v>12</v>
      </c>
      <c r="H4" s="48"/>
    </row>
    <row r="5" spans="1:14" s="34" customFormat="1" ht="79.150000000000006">
      <c r="A5" s="44">
        <v>4</v>
      </c>
      <c r="B5" s="45" t="s">
        <v>13</v>
      </c>
      <c r="C5" s="52">
        <v>45366</v>
      </c>
      <c r="D5" s="52">
        <v>46217</v>
      </c>
      <c r="E5" s="46"/>
      <c r="F5" s="48"/>
      <c r="G5" s="59" t="s">
        <v>14</v>
      </c>
      <c r="H5" s="48"/>
    </row>
    <row r="6" spans="1:14" s="34" customFormat="1" ht="39.6">
      <c r="A6" s="44">
        <v>5</v>
      </c>
      <c r="B6" s="45" t="s">
        <v>15</v>
      </c>
      <c r="C6" s="52">
        <v>46218</v>
      </c>
      <c r="D6" s="52">
        <v>46287</v>
      </c>
      <c r="E6" s="46"/>
      <c r="F6" s="47"/>
      <c r="G6" s="47" t="s">
        <v>16</v>
      </c>
      <c r="H6" s="48"/>
    </row>
  </sheetData>
  <protectedRanges>
    <protectedRange sqref="C4:D4 C5:C6 D6" name="開發項目_2"/>
    <protectedRange sqref="D5" name="開發項目_1_1"/>
  </protectedRange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619A-6E0B-4F76-9BCF-35C8252470AC}">
  <sheetPr>
    <tabColor rgb="FFFFFF00"/>
  </sheetPr>
  <dimension ref="A1:O183"/>
  <sheetViews>
    <sheetView zoomScale="85" zoomScaleNormal="85" workbookViewId="0">
      <pane ySplit="1" topLeftCell="C160" activePane="bottomLeft" state="frozen"/>
      <selection pane="bottomLeft" activeCell="O168" sqref="O168"/>
    </sheetView>
  </sheetViews>
  <sheetFormatPr defaultColWidth="8.875" defaultRowHeight="16.149999999999999"/>
  <cols>
    <col min="1" max="1" width="6.125" customWidth="1"/>
    <col min="2" max="2" width="10.375" style="67" customWidth="1"/>
    <col min="3" max="3" width="72.125" customWidth="1"/>
    <col min="4" max="4" width="11.625" customWidth="1"/>
    <col min="5" max="5" width="25.125" customWidth="1"/>
    <col min="6" max="6" width="15.875" customWidth="1"/>
    <col min="7" max="7" width="15.25" customWidth="1"/>
    <col min="8" max="8" width="15.5" customWidth="1"/>
    <col min="9" max="9" width="15.875" customWidth="1"/>
    <col min="10" max="10" width="10.5" hidden="1" customWidth="1"/>
    <col min="11" max="11" width="12.125" hidden="1" customWidth="1"/>
    <col min="12" max="12" width="11.375" hidden="1" customWidth="1"/>
    <col min="13" max="13" width="12" hidden="1" customWidth="1"/>
    <col min="14" max="14" width="14.875" hidden="1" customWidth="1"/>
    <col min="15" max="15" width="69.625" style="67" customWidth="1"/>
  </cols>
  <sheetData>
    <row r="1" spans="1:15" ht="31.15">
      <c r="A1" s="17" t="s">
        <v>0</v>
      </c>
      <c r="B1" s="68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53" t="s">
        <v>25</v>
      </c>
      <c r="K1" s="53" t="s">
        <v>26</v>
      </c>
      <c r="L1" s="53" t="s">
        <v>27</v>
      </c>
      <c r="M1" s="53" t="s">
        <v>28</v>
      </c>
      <c r="N1" s="21" t="s">
        <v>5</v>
      </c>
      <c r="O1" s="7" t="s">
        <v>29</v>
      </c>
    </row>
    <row r="2" spans="1:15" s="40" customFormat="1">
      <c r="A2" s="37">
        <f>IF(C2="","",ROW()-1)</f>
        <v>1</v>
      </c>
      <c r="B2" s="69">
        <v>1</v>
      </c>
      <c r="C2" s="20" t="s">
        <v>30</v>
      </c>
      <c r="D2" s="35">
        <v>0.5</v>
      </c>
      <c r="E2" s="1" t="s">
        <v>31</v>
      </c>
      <c r="F2" s="38">
        <v>46036</v>
      </c>
      <c r="G2" s="38">
        <v>46036</v>
      </c>
      <c r="H2" s="38">
        <v>46036</v>
      </c>
      <c r="I2" s="38">
        <v>46036</v>
      </c>
      <c r="J2" s="55"/>
      <c r="K2" s="55"/>
      <c r="L2" s="55"/>
      <c r="M2" s="55"/>
      <c r="N2" s="39"/>
      <c r="O2" s="65"/>
    </row>
    <row r="3" spans="1:15" s="40" customFormat="1">
      <c r="A3" s="54">
        <f>IF(C3="","",ROW()-1)</f>
        <v>2</v>
      </c>
      <c r="B3" s="70">
        <v>1.1000000000000001</v>
      </c>
      <c r="C3" s="18" t="s">
        <v>32</v>
      </c>
      <c r="D3" s="35">
        <v>0.5</v>
      </c>
      <c r="E3" s="1" t="s">
        <v>31</v>
      </c>
      <c r="F3" s="38">
        <v>46036</v>
      </c>
      <c r="G3" s="38">
        <v>46036</v>
      </c>
      <c r="H3" s="38">
        <v>46036</v>
      </c>
      <c r="I3" s="38">
        <v>46036</v>
      </c>
      <c r="J3" s="56"/>
      <c r="K3" s="56"/>
      <c r="L3" s="56"/>
      <c r="M3" s="56"/>
      <c r="N3" s="22"/>
      <c r="O3" s="42"/>
    </row>
    <row r="4" spans="1:15" s="40" customFormat="1">
      <c r="A4" s="54">
        <f>IF(C4="","",ROW()-1)</f>
        <v>3</v>
      </c>
      <c r="B4" s="70">
        <v>1.2</v>
      </c>
      <c r="C4" s="18" t="s">
        <v>33</v>
      </c>
      <c r="D4" s="35">
        <v>0.5</v>
      </c>
      <c r="E4" s="1" t="s">
        <v>31</v>
      </c>
      <c r="F4" s="38">
        <v>46036</v>
      </c>
      <c r="G4" s="38">
        <v>46036</v>
      </c>
      <c r="H4" s="38">
        <v>46036</v>
      </c>
      <c r="I4" s="38">
        <v>46036</v>
      </c>
      <c r="J4" s="56"/>
      <c r="K4" s="56"/>
      <c r="L4" s="56"/>
      <c r="M4" s="56"/>
      <c r="N4" s="22"/>
      <c r="O4" s="42"/>
    </row>
    <row r="5" spans="1:15" s="40" customFormat="1" ht="31.15">
      <c r="A5" s="37">
        <f t="shared" ref="A5:A183" si="0">IF(C5="","",ROW()-1)</f>
        <v>4</v>
      </c>
      <c r="B5" s="69">
        <v>2</v>
      </c>
      <c r="C5" s="20" t="s">
        <v>34</v>
      </c>
      <c r="D5" s="35">
        <f>SUM(D6:D30)</f>
        <v>55.5</v>
      </c>
      <c r="E5" s="75" t="s">
        <v>35</v>
      </c>
      <c r="F5" s="36">
        <v>46042</v>
      </c>
      <c r="G5" s="43">
        <v>46066</v>
      </c>
      <c r="H5" s="36">
        <v>46042</v>
      </c>
      <c r="I5" s="36"/>
      <c r="J5" s="62"/>
      <c r="K5" s="62"/>
      <c r="L5" s="62"/>
      <c r="M5" s="62"/>
      <c r="N5" s="39"/>
      <c r="O5" s="63"/>
    </row>
    <row r="6" spans="1:15" s="40" customFormat="1" ht="31.15">
      <c r="A6" s="37">
        <f t="shared" si="0"/>
        <v>5</v>
      </c>
      <c r="B6" s="69">
        <v>2.1</v>
      </c>
      <c r="C6" s="20" t="s">
        <v>36</v>
      </c>
      <c r="D6" s="35">
        <v>3</v>
      </c>
      <c r="E6" s="75" t="s">
        <v>35</v>
      </c>
      <c r="F6" s="36">
        <v>46042</v>
      </c>
      <c r="G6" s="43">
        <v>46064</v>
      </c>
      <c r="H6" s="36">
        <v>46042</v>
      </c>
      <c r="I6" s="36"/>
      <c r="J6" s="62"/>
      <c r="K6" s="62"/>
      <c r="L6" s="62"/>
      <c r="M6" s="62"/>
      <c r="N6" s="39"/>
      <c r="O6" s="63"/>
    </row>
    <row r="7" spans="1:15" s="40" customFormat="1" ht="31.15">
      <c r="A7" s="37">
        <f t="shared" si="0"/>
        <v>6</v>
      </c>
      <c r="B7" s="69">
        <v>2.2000000000000002</v>
      </c>
      <c r="C7" s="20" t="s">
        <v>37</v>
      </c>
      <c r="D7" s="35">
        <v>10</v>
      </c>
      <c r="E7" s="75" t="s">
        <v>38</v>
      </c>
      <c r="F7" s="36">
        <v>46042</v>
      </c>
      <c r="G7" s="43">
        <v>46064</v>
      </c>
      <c r="H7" s="36">
        <v>46042</v>
      </c>
      <c r="I7" s="36"/>
      <c r="J7" s="62"/>
      <c r="K7" s="62"/>
      <c r="L7" s="62"/>
      <c r="M7" s="62"/>
      <c r="N7" s="39"/>
      <c r="O7" s="63"/>
    </row>
    <row r="8" spans="1:15">
      <c r="A8" s="37">
        <f t="shared" si="0"/>
        <v>7</v>
      </c>
      <c r="B8" s="70" t="s">
        <v>39</v>
      </c>
      <c r="C8" s="18" t="s">
        <v>40</v>
      </c>
      <c r="D8" s="1">
        <v>10.5</v>
      </c>
      <c r="E8" s="1" t="s">
        <v>41</v>
      </c>
      <c r="F8" s="13">
        <v>46042</v>
      </c>
      <c r="G8" s="15">
        <v>46064</v>
      </c>
      <c r="H8" s="13">
        <v>46042</v>
      </c>
      <c r="I8" s="13"/>
      <c r="J8" s="56"/>
      <c r="K8" s="56"/>
      <c r="L8" s="56"/>
      <c r="M8" s="56"/>
      <c r="N8" s="22"/>
      <c r="O8" s="42"/>
    </row>
    <row r="9" spans="1:15" ht="31.15">
      <c r="A9" s="54">
        <f>IF(C9="","",ROW()-1)</f>
        <v>8</v>
      </c>
      <c r="B9" s="70" t="s">
        <v>42</v>
      </c>
      <c r="C9" s="18" t="s">
        <v>43</v>
      </c>
      <c r="D9" s="1">
        <v>1</v>
      </c>
      <c r="E9" s="1" t="s">
        <v>44</v>
      </c>
      <c r="F9" s="13">
        <v>46042</v>
      </c>
      <c r="G9" s="13">
        <v>46042</v>
      </c>
      <c r="H9" s="15">
        <v>46042</v>
      </c>
      <c r="I9" s="15">
        <v>46042</v>
      </c>
      <c r="J9" s="56"/>
      <c r="K9" s="56">
        <v>6</v>
      </c>
      <c r="L9" s="56"/>
      <c r="M9" s="56"/>
      <c r="N9" s="22"/>
      <c r="O9" s="42" t="s">
        <v>45</v>
      </c>
    </row>
    <row r="10" spans="1:15">
      <c r="A10" s="54">
        <f t="shared" ref="A10" si="1">IF(C10="","",ROW()-1)</f>
        <v>9</v>
      </c>
      <c r="B10" s="70" t="s">
        <v>46</v>
      </c>
      <c r="C10" s="18" t="s">
        <v>47</v>
      </c>
      <c r="D10" s="1">
        <v>3.5</v>
      </c>
      <c r="E10" s="1" t="s">
        <v>44</v>
      </c>
      <c r="F10" s="13">
        <v>46051</v>
      </c>
      <c r="G10" s="13">
        <v>46063</v>
      </c>
      <c r="H10" s="13">
        <v>46051</v>
      </c>
      <c r="I10" s="13">
        <v>46063</v>
      </c>
      <c r="J10" s="56"/>
      <c r="K10" s="56">
        <v>4</v>
      </c>
      <c r="L10" s="56"/>
      <c r="M10" s="56"/>
      <c r="N10" s="22"/>
      <c r="O10" s="42" t="s">
        <v>48</v>
      </c>
    </row>
    <row r="11" spans="1:15">
      <c r="A11" s="54">
        <f>IF(C11="","",ROW()-1)</f>
        <v>10</v>
      </c>
      <c r="B11" s="70" t="s">
        <v>49</v>
      </c>
      <c r="C11" s="18" t="s">
        <v>50</v>
      </c>
      <c r="D11" s="1">
        <v>1</v>
      </c>
      <c r="E11" s="1" t="s">
        <v>44</v>
      </c>
      <c r="F11" s="13">
        <v>46052</v>
      </c>
      <c r="G11" s="13">
        <v>46052</v>
      </c>
      <c r="H11" s="13">
        <v>46052</v>
      </c>
      <c r="I11" s="13">
        <v>46052</v>
      </c>
      <c r="J11" s="56"/>
      <c r="K11" s="56">
        <v>4</v>
      </c>
      <c r="L11" s="56"/>
      <c r="M11" s="56"/>
      <c r="N11" s="22"/>
      <c r="O11" s="42" t="s">
        <v>51</v>
      </c>
    </row>
    <row r="12" spans="1:15" ht="31.15">
      <c r="A12" s="54">
        <f>IF(C12="","",ROW()-1)</f>
        <v>11</v>
      </c>
      <c r="B12" s="70" t="s">
        <v>52</v>
      </c>
      <c r="C12" s="18" t="s">
        <v>53</v>
      </c>
      <c r="D12" s="1">
        <v>1</v>
      </c>
      <c r="E12" s="1" t="s">
        <v>44</v>
      </c>
      <c r="F12" s="13">
        <v>46051</v>
      </c>
      <c r="G12" s="13">
        <v>46063</v>
      </c>
      <c r="H12" s="15">
        <v>46052</v>
      </c>
      <c r="I12" s="15">
        <v>46055</v>
      </c>
      <c r="J12" s="56"/>
      <c r="K12" s="56">
        <v>4</v>
      </c>
      <c r="L12" s="56"/>
      <c r="M12" s="56"/>
      <c r="N12" s="22"/>
      <c r="O12" s="41" t="s">
        <v>54</v>
      </c>
    </row>
    <row r="13" spans="1:15" ht="31.15">
      <c r="A13" s="54">
        <f t="shared" ref="A13:A16" si="2">IF(C13="","",ROW()-1)</f>
        <v>12</v>
      </c>
      <c r="B13" s="70" t="s">
        <v>55</v>
      </c>
      <c r="C13" s="18" t="s">
        <v>56</v>
      </c>
      <c r="D13" s="1">
        <v>1</v>
      </c>
      <c r="E13" s="1" t="s">
        <v>44</v>
      </c>
      <c r="F13" s="13">
        <v>46057</v>
      </c>
      <c r="G13" s="13">
        <v>46057</v>
      </c>
      <c r="H13" s="13">
        <v>46057</v>
      </c>
      <c r="I13" s="13">
        <v>46057</v>
      </c>
      <c r="J13" s="56"/>
      <c r="K13" s="56"/>
      <c r="L13" s="56"/>
      <c r="M13" s="56"/>
      <c r="N13" s="22"/>
      <c r="O13" s="42"/>
    </row>
    <row r="14" spans="1:15" ht="31.15">
      <c r="A14" s="54">
        <f t="shared" si="2"/>
        <v>13</v>
      </c>
      <c r="B14" s="70" t="s">
        <v>57</v>
      </c>
      <c r="C14" s="18" t="s">
        <v>58</v>
      </c>
      <c r="D14" s="1">
        <v>2.5</v>
      </c>
      <c r="E14" s="1" t="s">
        <v>44</v>
      </c>
      <c r="F14" s="13">
        <v>46057</v>
      </c>
      <c r="G14" s="13">
        <v>46063</v>
      </c>
      <c r="H14" s="15">
        <v>46051</v>
      </c>
      <c r="I14" s="15">
        <v>46059</v>
      </c>
      <c r="J14" s="56"/>
      <c r="K14" s="56"/>
      <c r="L14" s="56"/>
      <c r="M14" s="56"/>
      <c r="N14" s="22"/>
      <c r="O14" s="42"/>
    </row>
    <row r="15" spans="1:15">
      <c r="A15" s="54">
        <f t="shared" si="2"/>
        <v>14</v>
      </c>
      <c r="B15" s="70" t="s">
        <v>59</v>
      </c>
      <c r="C15" s="18" t="s">
        <v>60</v>
      </c>
      <c r="D15" s="1">
        <v>1</v>
      </c>
      <c r="E15" s="1" t="s">
        <v>44</v>
      </c>
      <c r="F15" s="13">
        <v>46059</v>
      </c>
      <c r="G15" s="13">
        <v>46059</v>
      </c>
      <c r="H15" s="13">
        <v>46059</v>
      </c>
      <c r="I15" s="13">
        <v>46059</v>
      </c>
      <c r="J15" s="56"/>
      <c r="K15" s="56"/>
      <c r="L15" s="56"/>
      <c r="M15" s="56"/>
      <c r="N15" s="22"/>
      <c r="O15" s="42"/>
    </row>
    <row r="16" spans="1:15">
      <c r="A16" s="54">
        <f t="shared" si="2"/>
        <v>15</v>
      </c>
      <c r="B16" s="70" t="s">
        <v>61</v>
      </c>
      <c r="C16" s="18" t="s">
        <v>62</v>
      </c>
      <c r="D16" s="1">
        <v>0.5</v>
      </c>
      <c r="E16" s="1" t="s">
        <v>44</v>
      </c>
      <c r="F16" s="13">
        <v>46063</v>
      </c>
      <c r="G16" s="13">
        <v>46063</v>
      </c>
      <c r="H16" s="13">
        <v>46063</v>
      </c>
      <c r="I16" s="13">
        <v>46063</v>
      </c>
      <c r="J16" s="56"/>
      <c r="K16" s="56"/>
      <c r="L16" s="56"/>
      <c r="M16" s="56"/>
      <c r="N16" s="22"/>
      <c r="O16" s="42"/>
    </row>
    <row r="17" spans="1:15">
      <c r="A17" s="54">
        <f>IF(C17="","",ROW()-1)</f>
        <v>16</v>
      </c>
      <c r="B17" s="70" t="s">
        <v>63</v>
      </c>
      <c r="C17" s="18" t="s">
        <v>64</v>
      </c>
      <c r="D17" s="1">
        <v>1</v>
      </c>
      <c r="E17" s="1" t="s">
        <v>44</v>
      </c>
      <c r="F17" s="13">
        <v>46057</v>
      </c>
      <c r="G17" s="13">
        <v>46057</v>
      </c>
      <c r="H17" s="13">
        <v>46057</v>
      </c>
      <c r="I17" s="13">
        <v>46057</v>
      </c>
      <c r="J17" s="56"/>
      <c r="K17" s="56"/>
      <c r="L17" s="56"/>
      <c r="M17" s="56"/>
      <c r="N17" s="22"/>
      <c r="O17" s="42"/>
    </row>
    <row r="18" spans="1:15">
      <c r="A18" s="54">
        <f>IF(C18="","",ROW()-1)</f>
        <v>17</v>
      </c>
      <c r="B18" s="70" t="s">
        <v>65</v>
      </c>
      <c r="C18" s="18" t="s">
        <v>66</v>
      </c>
      <c r="D18" s="1">
        <v>1</v>
      </c>
      <c r="E18" s="1" t="s">
        <v>44</v>
      </c>
      <c r="F18" s="13">
        <v>46063</v>
      </c>
      <c r="G18" s="13">
        <v>46063</v>
      </c>
      <c r="H18" s="13">
        <v>46063</v>
      </c>
      <c r="I18" s="13">
        <v>46063</v>
      </c>
      <c r="J18" s="56"/>
      <c r="K18" s="56"/>
      <c r="L18" s="56"/>
      <c r="M18" s="56"/>
      <c r="N18" s="22"/>
      <c r="O18" s="42"/>
    </row>
    <row r="19" spans="1:15">
      <c r="A19" s="54">
        <f>IF(C19="","",ROW()-1)</f>
        <v>18</v>
      </c>
      <c r="B19" s="70" t="s">
        <v>67</v>
      </c>
      <c r="C19" s="18" t="s">
        <v>68</v>
      </c>
      <c r="D19" s="1">
        <v>1</v>
      </c>
      <c r="E19" s="1" t="s">
        <v>44</v>
      </c>
      <c r="F19" s="13">
        <v>46064</v>
      </c>
      <c r="G19" s="13">
        <v>46064</v>
      </c>
      <c r="H19" s="15">
        <v>46064</v>
      </c>
      <c r="I19" s="15">
        <v>46064</v>
      </c>
      <c r="J19" s="56"/>
      <c r="K19" s="56"/>
      <c r="L19" s="56"/>
      <c r="M19" s="56"/>
      <c r="N19" s="22"/>
      <c r="O19" s="42"/>
    </row>
    <row r="20" spans="1:15">
      <c r="A20" s="54">
        <f>IF(C20="","",ROW()-1)</f>
        <v>19</v>
      </c>
      <c r="B20" s="70" t="s">
        <v>69</v>
      </c>
      <c r="C20" s="18" t="s">
        <v>70</v>
      </c>
      <c r="D20" s="1">
        <v>0.5</v>
      </c>
      <c r="E20" s="1" t="s">
        <v>44</v>
      </c>
      <c r="F20" s="13">
        <v>46064</v>
      </c>
      <c r="G20" s="13">
        <v>46064</v>
      </c>
      <c r="H20" s="13">
        <v>46063</v>
      </c>
      <c r="I20" s="13">
        <v>46065</v>
      </c>
      <c r="J20" s="56"/>
      <c r="K20" s="56"/>
      <c r="L20" s="56"/>
      <c r="M20" s="56"/>
      <c r="N20" s="22"/>
      <c r="O20" s="42"/>
    </row>
    <row r="21" spans="1:15">
      <c r="A21" s="54">
        <f t="shared" si="0"/>
        <v>20</v>
      </c>
      <c r="B21" s="70" t="s">
        <v>71</v>
      </c>
      <c r="C21" s="18" t="s">
        <v>72</v>
      </c>
      <c r="D21" s="1"/>
      <c r="E21" s="87"/>
      <c r="F21" s="13">
        <v>46044</v>
      </c>
      <c r="G21" s="13">
        <v>46063</v>
      </c>
      <c r="H21" s="15">
        <v>46044</v>
      </c>
      <c r="I21" s="15"/>
      <c r="J21" s="56"/>
      <c r="K21" s="56"/>
      <c r="L21" s="56"/>
      <c r="M21" s="56"/>
      <c r="N21" s="22"/>
      <c r="O21" s="42"/>
    </row>
    <row r="22" spans="1:15">
      <c r="A22" s="54">
        <f t="shared" si="0"/>
        <v>21</v>
      </c>
      <c r="B22" s="70" t="s">
        <v>73</v>
      </c>
      <c r="C22" s="86" t="s">
        <v>74</v>
      </c>
      <c r="D22" s="87">
        <v>2</v>
      </c>
      <c r="E22" s="87" t="s">
        <v>75</v>
      </c>
      <c r="F22" s="88">
        <v>46044</v>
      </c>
      <c r="G22" s="88">
        <v>46044</v>
      </c>
      <c r="H22" s="15">
        <v>46044</v>
      </c>
      <c r="I22" s="15">
        <v>46044</v>
      </c>
      <c r="J22" s="56"/>
      <c r="K22" s="56"/>
      <c r="L22" s="56"/>
      <c r="M22" s="56"/>
      <c r="N22" s="22"/>
      <c r="O22" s="42"/>
    </row>
    <row r="23" spans="1:15">
      <c r="A23" s="54">
        <f t="shared" si="0"/>
        <v>22</v>
      </c>
      <c r="B23" s="70" t="s">
        <v>76</v>
      </c>
      <c r="C23" s="86" t="s">
        <v>77</v>
      </c>
      <c r="D23" s="87">
        <v>3</v>
      </c>
      <c r="E23" s="87" t="s">
        <v>75</v>
      </c>
      <c r="F23" s="88">
        <v>46059</v>
      </c>
      <c r="G23" s="88">
        <v>46062</v>
      </c>
      <c r="H23" s="15">
        <v>46062</v>
      </c>
      <c r="I23" s="15">
        <v>46063</v>
      </c>
      <c r="J23" s="56"/>
      <c r="K23" s="56"/>
      <c r="L23" s="56"/>
      <c r="M23" s="56"/>
      <c r="N23" s="22"/>
      <c r="O23" s="42"/>
    </row>
    <row r="24" spans="1:15">
      <c r="A24" s="54">
        <f t="shared" si="0"/>
        <v>23</v>
      </c>
      <c r="B24" s="70" t="s">
        <v>78</v>
      </c>
      <c r="C24" s="86" t="s">
        <v>79</v>
      </c>
      <c r="D24" s="87">
        <v>2</v>
      </c>
      <c r="E24" s="87" t="s">
        <v>75</v>
      </c>
      <c r="F24" s="88">
        <v>46056</v>
      </c>
      <c r="G24" s="88">
        <v>46056</v>
      </c>
      <c r="H24" s="88">
        <v>46056</v>
      </c>
      <c r="I24" s="88">
        <v>46056</v>
      </c>
      <c r="J24" s="56"/>
      <c r="K24" s="56"/>
      <c r="L24" s="56"/>
      <c r="M24" s="56"/>
      <c r="N24" s="22"/>
      <c r="O24" s="42"/>
    </row>
    <row r="25" spans="1:15">
      <c r="A25" s="54">
        <f t="shared" si="0"/>
        <v>24</v>
      </c>
      <c r="B25" s="70" t="s">
        <v>80</v>
      </c>
      <c r="C25" s="86" t="s">
        <v>81</v>
      </c>
      <c r="D25" s="87">
        <v>3</v>
      </c>
      <c r="E25" s="87" t="s">
        <v>75</v>
      </c>
      <c r="F25" s="88">
        <v>46059</v>
      </c>
      <c r="G25" s="88">
        <v>46063</v>
      </c>
      <c r="H25" s="15">
        <v>46090</v>
      </c>
      <c r="I25" s="15"/>
      <c r="J25" s="56"/>
      <c r="K25" s="56"/>
      <c r="L25" s="56"/>
      <c r="M25" s="56"/>
      <c r="N25" s="22"/>
      <c r="O25" s="42"/>
    </row>
    <row r="26" spans="1:15">
      <c r="A26" s="54">
        <f t="shared" si="0"/>
        <v>25</v>
      </c>
      <c r="B26" s="70" t="s">
        <v>82</v>
      </c>
      <c r="C26" s="86" t="s">
        <v>83</v>
      </c>
      <c r="D26" s="87">
        <v>2</v>
      </c>
      <c r="E26" s="87" t="s">
        <v>75</v>
      </c>
      <c r="F26" s="88">
        <v>46059</v>
      </c>
      <c r="G26" s="88">
        <v>46059</v>
      </c>
      <c r="H26" s="88">
        <v>46059</v>
      </c>
      <c r="I26" s="88">
        <v>46059</v>
      </c>
      <c r="J26" s="56"/>
      <c r="K26" s="56"/>
      <c r="L26" s="56"/>
      <c r="M26" s="56"/>
      <c r="N26" s="22"/>
      <c r="O26" s="42"/>
    </row>
    <row r="27" spans="1:15">
      <c r="A27" s="54">
        <f t="shared" si="0"/>
        <v>26</v>
      </c>
      <c r="B27" s="70" t="s">
        <v>84</v>
      </c>
      <c r="C27" s="86" t="s">
        <v>85</v>
      </c>
      <c r="D27" s="87">
        <v>3</v>
      </c>
      <c r="E27" s="87" t="s">
        <v>75</v>
      </c>
      <c r="F27" s="88">
        <v>46059</v>
      </c>
      <c r="G27" s="88">
        <v>46063</v>
      </c>
      <c r="H27" s="15">
        <v>46063</v>
      </c>
      <c r="I27" s="15"/>
      <c r="J27" s="56"/>
      <c r="K27" s="56"/>
      <c r="L27" s="56"/>
      <c r="M27" s="56"/>
      <c r="N27" s="22"/>
      <c r="O27" s="42"/>
    </row>
    <row r="28" spans="1:15" s="40" customFormat="1">
      <c r="A28" s="37">
        <f>IF(C28="","",ROW()-1)</f>
        <v>27</v>
      </c>
      <c r="B28" s="69" t="s">
        <v>86</v>
      </c>
      <c r="C28" s="83" t="s">
        <v>87</v>
      </c>
      <c r="D28" s="84"/>
      <c r="E28" s="90"/>
      <c r="F28" s="85">
        <v>46063</v>
      </c>
      <c r="G28" s="91">
        <v>46066</v>
      </c>
      <c r="H28" s="36">
        <v>46063</v>
      </c>
      <c r="I28" s="36"/>
      <c r="J28" s="62"/>
      <c r="K28" s="62"/>
      <c r="L28" s="62"/>
      <c r="M28" s="62"/>
      <c r="N28" s="39"/>
      <c r="O28" s="63"/>
    </row>
    <row r="29" spans="1:15">
      <c r="A29" s="54">
        <f>IF(C29="","",ROW()-1)</f>
        <v>28</v>
      </c>
      <c r="B29" s="70" t="s">
        <v>88</v>
      </c>
      <c r="C29" s="86" t="s">
        <v>89</v>
      </c>
      <c r="D29" s="87">
        <v>1</v>
      </c>
      <c r="E29" s="87" t="s">
        <v>41</v>
      </c>
      <c r="F29" s="88">
        <v>46063</v>
      </c>
      <c r="G29" s="88">
        <v>46066</v>
      </c>
      <c r="H29" s="15">
        <v>46063</v>
      </c>
      <c r="I29" s="15"/>
      <c r="J29" s="56"/>
      <c r="K29" s="56"/>
      <c r="L29" s="56"/>
      <c r="M29" s="56"/>
      <c r="N29" s="22"/>
      <c r="O29" s="42"/>
    </row>
    <row r="30" spans="1:15" ht="31.15">
      <c r="A30" s="54">
        <f t="shared" si="0"/>
        <v>29</v>
      </c>
      <c r="B30" s="70" t="s">
        <v>90</v>
      </c>
      <c r="C30" s="86" t="s">
        <v>91</v>
      </c>
      <c r="D30" s="87">
        <v>1</v>
      </c>
      <c r="E30" s="92" t="s">
        <v>38</v>
      </c>
      <c r="F30" s="88">
        <v>46063</v>
      </c>
      <c r="G30" s="88">
        <v>46066</v>
      </c>
      <c r="H30" s="15">
        <v>46063</v>
      </c>
      <c r="I30" s="15"/>
      <c r="J30" s="56"/>
      <c r="K30" s="56"/>
      <c r="L30" s="56"/>
      <c r="M30" s="56"/>
      <c r="N30" s="22"/>
      <c r="O30" s="42"/>
    </row>
    <row r="31" spans="1:15" s="40" customFormat="1">
      <c r="A31" s="37">
        <f>IF(C31="","",ROW()-1)</f>
        <v>30</v>
      </c>
      <c r="B31" s="69">
        <v>2.4</v>
      </c>
      <c r="C31" s="20" t="s">
        <v>92</v>
      </c>
      <c r="D31" s="35">
        <v>1</v>
      </c>
      <c r="E31" s="35" t="s">
        <v>41</v>
      </c>
      <c r="F31" s="36">
        <v>46063</v>
      </c>
      <c r="G31" s="36">
        <v>46063</v>
      </c>
      <c r="H31" s="43">
        <v>46063</v>
      </c>
      <c r="I31" s="43">
        <v>46063</v>
      </c>
      <c r="J31" s="64"/>
      <c r="K31" s="64"/>
      <c r="L31" s="64"/>
      <c r="M31" s="64"/>
      <c r="N31" s="39"/>
      <c r="O31" s="65"/>
    </row>
    <row r="32" spans="1:15" s="40" customFormat="1">
      <c r="A32" s="37">
        <f>IF(C32="","",ROW()-1)</f>
        <v>31</v>
      </c>
      <c r="B32" s="69">
        <v>2.5</v>
      </c>
      <c r="C32" s="20" t="s">
        <v>93</v>
      </c>
      <c r="D32" s="35">
        <v>1</v>
      </c>
      <c r="E32" s="35" t="s">
        <v>44</v>
      </c>
      <c r="F32" s="36">
        <v>46063</v>
      </c>
      <c r="G32" s="36">
        <v>46063</v>
      </c>
      <c r="H32" s="43">
        <v>46065</v>
      </c>
      <c r="I32" s="43">
        <v>46065</v>
      </c>
      <c r="J32" s="64"/>
      <c r="K32" s="64"/>
      <c r="L32" s="64"/>
      <c r="M32" s="64"/>
      <c r="N32" s="39"/>
      <c r="O32" s="65"/>
    </row>
    <row r="33" spans="1:15" s="40" customFormat="1">
      <c r="A33" s="37">
        <f>IF(C33="","",ROW()-1)</f>
        <v>32</v>
      </c>
      <c r="B33" s="69">
        <v>2.6</v>
      </c>
      <c r="C33" s="20" t="s">
        <v>94</v>
      </c>
      <c r="D33" s="35">
        <v>1</v>
      </c>
      <c r="E33" s="35" t="s">
        <v>44</v>
      </c>
      <c r="F33" s="36">
        <v>46063</v>
      </c>
      <c r="G33" s="36">
        <v>46063</v>
      </c>
      <c r="H33" s="43">
        <v>46065</v>
      </c>
      <c r="I33" s="43">
        <v>46065</v>
      </c>
      <c r="J33" s="64"/>
      <c r="K33" s="64"/>
      <c r="L33" s="64"/>
      <c r="M33" s="64"/>
      <c r="N33" s="39"/>
      <c r="O33" s="65"/>
    </row>
    <row r="34" spans="1:15" s="40" customFormat="1">
      <c r="A34" s="37">
        <f t="shared" si="0"/>
        <v>33</v>
      </c>
      <c r="B34" s="69">
        <v>2.7</v>
      </c>
      <c r="C34" s="20" t="s">
        <v>95</v>
      </c>
      <c r="D34" s="35">
        <v>1</v>
      </c>
      <c r="E34" s="35" t="s">
        <v>96</v>
      </c>
      <c r="F34" s="36">
        <v>46063</v>
      </c>
      <c r="G34" s="36">
        <v>46065</v>
      </c>
      <c r="H34" s="43">
        <v>46065</v>
      </c>
      <c r="I34" s="43">
        <v>46065</v>
      </c>
      <c r="J34" s="64"/>
      <c r="K34" s="64"/>
      <c r="L34" s="64"/>
      <c r="M34" s="64"/>
      <c r="N34" s="39"/>
      <c r="O34" s="65"/>
    </row>
    <row r="35" spans="1:15" s="40" customFormat="1">
      <c r="A35" s="37">
        <f t="shared" si="0"/>
        <v>34</v>
      </c>
      <c r="B35" s="69">
        <v>3</v>
      </c>
      <c r="C35" s="20" t="s">
        <v>97</v>
      </c>
      <c r="D35" s="35">
        <f>SUM(D39:D57)</f>
        <v>13.5</v>
      </c>
      <c r="E35" s="35" t="s">
        <v>98</v>
      </c>
      <c r="F35" s="36">
        <v>46035</v>
      </c>
      <c r="G35" s="36">
        <v>46132</v>
      </c>
      <c r="H35" s="43">
        <v>46076</v>
      </c>
      <c r="I35" s="43"/>
      <c r="J35" s="64"/>
      <c r="K35" s="64"/>
      <c r="L35" s="64"/>
      <c r="M35" s="64"/>
      <c r="N35" s="39"/>
      <c r="O35" s="76"/>
    </row>
    <row r="36" spans="1:15" s="40" customFormat="1">
      <c r="A36" s="37">
        <f>IF(C36="","",ROW()-1)</f>
        <v>35</v>
      </c>
      <c r="B36" s="69">
        <v>3.1</v>
      </c>
      <c r="C36" s="20" t="s">
        <v>99</v>
      </c>
      <c r="D36" s="35">
        <v>1</v>
      </c>
      <c r="E36" s="35" t="s">
        <v>100</v>
      </c>
      <c r="F36" s="36">
        <v>46084</v>
      </c>
      <c r="G36" s="36">
        <v>46084</v>
      </c>
      <c r="H36" s="43">
        <v>46086</v>
      </c>
      <c r="I36" s="43">
        <v>46086</v>
      </c>
      <c r="J36" s="64"/>
      <c r="K36" s="64"/>
      <c r="L36" s="64"/>
      <c r="M36" s="64"/>
      <c r="N36" s="39"/>
      <c r="O36" s="65"/>
    </row>
    <row r="37" spans="1:15" s="40" customFormat="1">
      <c r="A37" s="37">
        <f>IF(C37="","",ROW()-1)</f>
        <v>36</v>
      </c>
      <c r="B37" s="69">
        <v>3.2</v>
      </c>
      <c r="C37" s="20" t="s">
        <v>101</v>
      </c>
      <c r="D37" s="35"/>
      <c r="E37" s="35"/>
      <c r="F37" s="36">
        <v>46037</v>
      </c>
      <c r="G37" s="36">
        <v>46063</v>
      </c>
      <c r="H37" s="43">
        <v>46035</v>
      </c>
      <c r="I37" s="43">
        <v>46052</v>
      </c>
      <c r="J37" s="64"/>
      <c r="K37" s="64"/>
      <c r="L37" s="64"/>
      <c r="M37" s="64"/>
      <c r="N37" s="39"/>
      <c r="O37" s="76"/>
    </row>
    <row r="38" spans="1:15">
      <c r="A38" s="10">
        <f>IF(C38="","",ROW()-1)</f>
        <v>37</v>
      </c>
      <c r="B38" s="82" t="s">
        <v>102</v>
      </c>
      <c r="C38" s="18" t="s">
        <v>103</v>
      </c>
      <c r="D38" s="1">
        <v>0.5</v>
      </c>
      <c r="E38" s="1" t="s">
        <v>104</v>
      </c>
      <c r="F38" s="13">
        <v>46035</v>
      </c>
      <c r="G38" s="13">
        <v>46035</v>
      </c>
      <c r="H38" s="13">
        <v>46035</v>
      </c>
      <c r="I38" s="13">
        <v>46036</v>
      </c>
      <c r="J38" s="116"/>
      <c r="K38" s="116"/>
      <c r="L38" s="116"/>
      <c r="M38" s="116">
        <v>3.5</v>
      </c>
      <c r="N38" s="13"/>
      <c r="O38" s="117" t="s">
        <v>105</v>
      </c>
    </row>
    <row r="39" spans="1:15">
      <c r="A39" s="54">
        <f t="shared" si="0"/>
        <v>38</v>
      </c>
      <c r="B39" s="70" t="s">
        <v>106</v>
      </c>
      <c r="C39" s="18" t="s">
        <v>107</v>
      </c>
      <c r="D39" s="1">
        <v>0.5</v>
      </c>
      <c r="E39" s="1" t="s">
        <v>104</v>
      </c>
      <c r="F39" s="13">
        <v>46036</v>
      </c>
      <c r="G39" s="13">
        <v>46036</v>
      </c>
      <c r="H39" s="13">
        <v>46036</v>
      </c>
      <c r="I39" s="13">
        <v>46036</v>
      </c>
      <c r="J39" s="56"/>
      <c r="K39" s="56"/>
      <c r="L39" s="56"/>
      <c r="M39" s="56">
        <v>0.5</v>
      </c>
      <c r="N39" s="22"/>
      <c r="O39" s="61" t="s">
        <v>108</v>
      </c>
    </row>
    <row r="40" spans="1:15">
      <c r="A40" s="54">
        <f t="shared" si="0"/>
        <v>39</v>
      </c>
      <c r="B40" s="70" t="s">
        <v>109</v>
      </c>
      <c r="C40" s="18" t="s">
        <v>110</v>
      </c>
      <c r="D40" s="1">
        <v>0.5</v>
      </c>
      <c r="E40" s="1" t="s">
        <v>104</v>
      </c>
      <c r="F40" s="13">
        <v>46036</v>
      </c>
      <c r="G40" s="13">
        <v>46036</v>
      </c>
      <c r="H40" s="13">
        <v>46036</v>
      </c>
      <c r="I40" s="13">
        <v>46036</v>
      </c>
      <c r="J40" s="56"/>
      <c r="K40" s="56"/>
      <c r="L40" s="56"/>
      <c r="M40" s="56">
        <v>0.5</v>
      </c>
      <c r="N40" s="22"/>
      <c r="O40" s="61" t="s">
        <v>108</v>
      </c>
    </row>
    <row r="41" spans="1:15">
      <c r="A41" s="54">
        <f>IF(C41="","",ROW()-1)</f>
        <v>40</v>
      </c>
      <c r="B41" s="70" t="s">
        <v>111</v>
      </c>
      <c r="C41" s="18" t="s">
        <v>112</v>
      </c>
      <c r="D41" s="1">
        <v>0.5</v>
      </c>
      <c r="E41" s="1" t="s">
        <v>104</v>
      </c>
      <c r="F41" s="13">
        <v>46037</v>
      </c>
      <c r="G41" s="13">
        <v>46037</v>
      </c>
      <c r="H41" s="13">
        <v>46037</v>
      </c>
      <c r="I41" s="13">
        <v>46037</v>
      </c>
      <c r="J41" s="56"/>
      <c r="K41" s="56"/>
      <c r="L41" s="56"/>
      <c r="M41" s="56">
        <v>1</v>
      </c>
      <c r="N41" s="22"/>
      <c r="O41" s="61" t="s">
        <v>113</v>
      </c>
    </row>
    <row r="42" spans="1:15">
      <c r="A42" s="54">
        <f>IF(C42="","",ROW()-1)</f>
        <v>41</v>
      </c>
      <c r="B42" s="70" t="s">
        <v>114</v>
      </c>
      <c r="C42" s="18" t="s">
        <v>115</v>
      </c>
      <c r="D42" s="1">
        <v>0.5</v>
      </c>
      <c r="E42" s="1" t="s">
        <v>104</v>
      </c>
      <c r="F42" s="13">
        <v>46037</v>
      </c>
      <c r="G42" s="13">
        <v>46037</v>
      </c>
      <c r="H42" s="13">
        <v>46037</v>
      </c>
      <c r="I42" s="13">
        <v>46037</v>
      </c>
      <c r="J42" s="56"/>
      <c r="K42" s="56"/>
      <c r="L42" s="56"/>
      <c r="M42" s="56">
        <v>1</v>
      </c>
      <c r="N42" s="22"/>
      <c r="O42" s="61" t="s">
        <v>113</v>
      </c>
    </row>
    <row r="43" spans="1:15">
      <c r="A43" s="54">
        <f t="shared" si="0"/>
        <v>42</v>
      </c>
      <c r="B43" s="70" t="s">
        <v>116</v>
      </c>
      <c r="C43" s="18" t="s">
        <v>117</v>
      </c>
      <c r="D43" s="1">
        <v>0.5</v>
      </c>
      <c r="E43" s="1" t="s">
        <v>104</v>
      </c>
      <c r="F43" s="13">
        <v>46038</v>
      </c>
      <c r="G43" s="13">
        <v>46038</v>
      </c>
      <c r="H43" s="13">
        <v>46037</v>
      </c>
      <c r="I43" s="13">
        <v>46037</v>
      </c>
      <c r="J43" s="56"/>
      <c r="K43" s="56"/>
      <c r="L43" s="56"/>
      <c r="M43" s="56">
        <v>1</v>
      </c>
      <c r="N43" s="22"/>
      <c r="O43" s="61" t="s">
        <v>113</v>
      </c>
    </row>
    <row r="44" spans="1:15">
      <c r="A44" s="54">
        <f t="shared" si="0"/>
        <v>43</v>
      </c>
      <c r="B44" s="70" t="s">
        <v>118</v>
      </c>
      <c r="C44" s="18" t="s">
        <v>119</v>
      </c>
      <c r="D44" s="1">
        <v>0.5</v>
      </c>
      <c r="E44" s="1" t="s">
        <v>104</v>
      </c>
      <c r="F44" s="13">
        <v>46038</v>
      </c>
      <c r="G44" s="13">
        <v>46038</v>
      </c>
      <c r="H44" s="13">
        <v>46037</v>
      </c>
      <c r="I44" s="13">
        <v>46037</v>
      </c>
      <c r="J44" s="56"/>
      <c r="K44" s="56"/>
      <c r="L44" s="56"/>
      <c r="M44" s="56">
        <v>1</v>
      </c>
      <c r="N44" s="22"/>
      <c r="O44" s="61" t="s">
        <v>113</v>
      </c>
    </row>
    <row r="45" spans="1:15">
      <c r="A45" s="54">
        <f>IF(C45="","",ROW()-1)</f>
        <v>44</v>
      </c>
      <c r="B45" s="70" t="s">
        <v>120</v>
      </c>
      <c r="C45" s="18" t="s">
        <v>121</v>
      </c>
      <c r="D45" s="1">
        <v>0.5</v>
      </c>
      <c r="E45" s="1" t="s">
        <v>104</v>
      </c>
      <c r="F45" s="13">
        <v>46042</v>
      </c>
      <c r="G45" s="13">
        <v>46042</v>
      </c>
      <c r="H45" s="13">
        <v>46037</v>
      </c>
      <c r="I45" s="13">
        <v>46037</v>
      </c>
      <c r="J45" s="56"/>
      <c r="K45" s="56"/>
      <c r="L45" s="56"/>
      <c r="M45" s="56">
        <v>1</v>
      </c>
      <c r="N45" s="22"/>
      <c r="O45" s="61" t="s">
        <v>113</v>
      </c>
    </row>
    <row r="46" spans="1:15">
      <c r="A46" s="54">
        <f t="shared" ref="A46:A75" si="3">IF(C46="","",ROW()-1)</f>
        <v>45</v>
      </c>
      <c r="B46" s="70" t="s">
        <v>122</v>
      </c>
      <c r="C46" s="18" t="s">
        <v>123</v>
      </c>
      <c r="D46" s="1">
        <v>1</v>
      </c>
      <c r="E46" s="1" t="s">
        <v>104</v>
      </c>
      <c r="F46" s="13">
        <v>46084</v>
      </c>
      <c r="G46" s="13">
        <v>46084</v>
      </c>
      <c r="H46" s="13">
        <v>46057</v>
      </c>
      <c r="I46" s="13">
        <v>46057</v>
      </c>
      <c r="J46" s="56"/>
      <c r="K46" s="56"/>
      <c r="L46" s="56"/>
      <c r="M46" s="56">
        <v>3</v>
      </c>
      <c r="N46" s="22"/>
      <c r="O46" s="61" t="s">
        <v>124</v>
      </c>
    </row>
    <row r="47" spans="1:15">
      <c r="A47" s="54">
        <f t="shared" si="3"/>
        <v>46</v>
      </c>
      <c r="B47" s="70" t="s">
        <v>125</v>
      </c>
      <c r="C47" s="18" t="s">
        <v>126</v>
      </c>
      <c r="D47" s="1">
        <v>1</v>
      </c>
      <c r="E47" s="1" t="s">
        <v>104</v>
      </c>
      <c r="F47" s="13">
        <v>46085</v>
      </c>
      <c r="G47" s="13">
        <v>46085</v>
      </c>
      <c r="H47" s="13">
        <v>46052</v>
      </c>
      <c r="I47" s="13">
        <v>46052</v>
      </c>
      <c r="J47" s="56"/>
      <c r="K47" s="56"/>
      <c r="L47" s="56"/>
      <c r="M47" s="56">
        <v>1</v>
      </c>
      <c r="N47" s="22"/>
      <c r="O47" s="61" t="s">
        <v>127</v>
      </c>
    </row>
    <row r="48" spans="1:15">
      <c r="A48" s="54">
        <f t="shared" si="3"/>
        <v>47</v>
      </c>
      <c r="B48" s="70" t="s">
        <v>128</v>
      </c>
      <c r="C48" s="18" t="s">
        <v>129</v>
      </c>
      <c r="D48" s="1">
        <v>1</v>
      </c>
      <c r="E48" s="1" t="s">
        <v>104</v>
      </c>
      <c r="F48" s="13">
        <v>46086</v>
      </c>
      <c r="G48" s="13">
        <v>46086</v>
      </c>
      <c r="H48" s="13">
        <v>46044</v>
      </c>
      <c r="I48" s="13">
        <v>46044</v>
      </c>
      <c r="J48" s="56"/>
      <c r="K48" s="56"/>
      <c r="L48" s="56"/>
      <c r="M48" s="56">
        <v>2</v>
      </c>
      <c r="N48" s="22"/>
      <c r="O48" s="61" t="s">
        <v>130</v>
      </c>
    </row>
    <row r="49" spans="1:15">
      <c r="A49" s="54">
        <f t="shared" ref="A49" si="4">IF(C49="","",ROW()-1)</f>
        <v>48</v>
      </c>
      <c r="B49" s="70" t="s">
        <v>131</v>
      </c>
      <c r="C49" s="18" t="s">
        <v>132</v>
      </c>
      <c r="D49" s="1">
        <v>1</v>
      </c>
      <c r="E49" s="1" t="s">
        <v>104</v>
      </c>
      <c r="F49" s="13">
        <v>46092</v>
      </c>
      <c r="G49" s="13">
        <v>46092</v>
      </c>
      <c r="H49" s="13">
        <v>46052</v>
      </c>
      <c r="I49" s="13">
        <v>46052</v>
      </c>
      <c r="J49" s="56"/>
      <c r="K49" s="56"/>
      <c r="L49" s="56"/>
      <c r="M49" s="56">
        <v>2</v>
      </c>
      <c r="N49" s="22"/>
      <c r="O49" s="61" t="s">
        <v>133</v>
      </c>
    </row>
    <row r="50" spans="1:15" s="40" customFormat="1">
      <c r="A50" s="37">
        <f t="shared" si="3"/>
        <v>49</v>
      </c>
      <c r="B50" s="69">
        <v>3.2</v>
      </c>
      <c r="C50" s="20" t="s">
        <v>134</v>
      </c>
      <c r="D50" s="35"/>
      <c r="E50" s="35"/>
      <c r="F50" s="36">
        <v>46076</v>
      </c>
      <c r="G50" s="36">
        <v>46132</v>
      </c>
      <c r="H50" s="13">
        <v>46090</v>
      </c>
      <c r="I50" s="43">
        <v>46100</v>
      </c>
      <c r="J50" s="64"/>
      <c r="K50" s="64"/>
      <c r="L50" s="64"/>
      <c r="M50" s="64"/>
      <c r="N50" s="39"/>
      <c r="O50" s="76"/>
    </row>
    <row r="51" spans="1:15">
      <c r="A51" s="54">
        <f t="shared" si="3"/>
        <v>50</v>
      </c>
      <c r="B51" s="70" t="s">
        <v>102</v>
      </c>
      <c r="C51" s="18" t="s">
        <v>135</v>
      </c>
      <c r="D51" s="1">
        <v>1</v>
      </c>
      <c r="E51" s="1" t="s">
        <v>136</v>
      </c>
      <c r="F51" s="13">
        <v>46101</v>
      </c>
      <c r="G51" s="13">
        <v>46101</v>
      </c>
      <c r="H51" s="15">
        <v>46103</v>
      </c>
      <c r="I51" s="15">
        <v>46103</v>
      </c>
      <c r="J51" s="56"/>
      <c r="K51" s="56"/>
      <c r="L51" s="56"/>
      <c r="M51" s="56"/>
      <c r="N51" s="22"/>
      <c r="O51" s="61"/>
    </row>
    <row r="52" spans="1:15">
      <c r="A52" s="54">
        <f t="shared" si="3"/>
        <v>51</v>
      </c>
      <c r="B52" s="70" t="s">
        <v>106</v>
      </c>
      <c r="C52" s="18" t="s">
        <v>137</v>
      </c>
      <c r="D52" s="1">
        <v>1</v>
      </c>
      <c r="E52" s="1" t="s">
        <v>136</v>
      </c>
      <c r="F52" s="13">
        <v>46101</v>
      </c>
      <c r="G52" s="13">
        <v>46101</v>
      </c>
      <c r="H52" s="15">
        <v>46103</v>
      </c>
      <c r="I52" s="15">
        <v>46103</v>
      </c>
      <c r="J52" s="56"/>
      <c r="K52" s="56"/>
      <c r="L52" s="56"/>
      <c r="M52" s="56"/>
      <c r="N52" s="22"/>
      <c r="O52" s="61"/>
    </row>
    <row r="53" spans="1:15">
      <c r="A53" s="54">
        <f t="shared" si="3"/>
        <v>52</v>
      </c>
      <c r="B53" s="70" t="s">
        <v>109</v>
      </c>
      <c r="C53" s="18" t="s">
        <v>138</v>
      </c>
      <c r="D53" s="1">
        <v>1</v>
      </c>
      <c r="E53" s="1" t="s">
        <v>139</v>
      </c>
      <c r="F53" s="13">
        <v>46106</v>
      </c>
      <c r="G53" s="13">
        <v>46106</v>
      </c>
      <c r="H53" s="15">
        <v>46103</v>
      </c>
      <c r="I53" s="15">
        <v>46103</v>
      </c>
      <c r="J53" s="56"/>
      <c r="K53" s="56"/>
      <c r="L53" s="56"/>
      <c r="M53" s="56"/>
      <c r="N53" s="22"/>
      <c r="O53" s="61"/>
    </row>
    <row r="54" spans="1:15">
      <c r="A54" s="54">
        <f t="shared" si="3"/>
        <v>53</v>
      </c>
      <c r="B54" s="70" t="s">
        <v>111</v>
      </c>
      <c r="C54" s="18" t="s">
        <v>140</v>
      </c>
      <c r="D54" s="1">
        <v>1</v>
      </c>
      <c r="E54" s="1" t="s">
        <v>141</v>
      </c>
      <c r="F54" s="13">
        <v>46106</v>
      </c>
      <c r="G54" s="13">
        <v>46112</v>
      </c>
      <c r="H54" s="15">
        <v>46105</v>
      </c>
      <c r="I54" s="15">
        <v>46105</v>
      </c>
      <c r="J54" s="56"/>
      <c r="K54" s="56"/>
      <c r="L54" s="56"/>
      <c r="M54" s="56"/>
      <c r="N54" s="22"/>
      <c r="O54" s="61"/>
    </row>
    <row r="55" spans="1:15" ht="75.75" customHeight="1">
      <c r="A55" s="54">
        <f>IF(C55="","",ROW()-1)</f>
        <v>54</v>
      </c>
      <c r="B55" s="70" t="s">
        <v>142</v>
      </c>
      <c r="C55" s="18" t="s">
        <v>143</v>
      </c>
      <c r="D55" s="1">
        <v>1</v>
      </c>
      <c r="E55" s="1" t="s">
        <v>144</v>
      </c>
      <c r="F55" s="13">
        <v>46090</v>
      </c>
      <c r="G55" s="13">
        <v>46101</v>
      </c>
      <c r="H55" s="15">
        <v>45001</v>
      </c>
      <c r="I55" s="15">
        <v>46100</v>
      </c>
      <c r="J55" s="56"/>
      <c r="K55" s="56"/>
      <c r="L55" s="56">
        <v>10</v>
      </c>
      <c r="M55" s="56"/>
      <c r="N55" s="22"/>
      <c r="O55" s="74" t="s">
        <v>145</v>
      </c>
    </row>
    <row r="56" spans="1:15" ht="46.9">
      <c r="A56" s="54">
        <f>IF(C56="","",ROW()-1)</f>
        <v>55</v>
      </c>
      <c r="B56" s="70" t="s">
        <v>146</v>
      </c>
      <c r="C56" s="18" t="s">
        <v>147</v>
      </c>
      <c r="D56" s="1">
        <v>1</v>
      </c>
      <c r="E56" s="1" t="s">
        <v>148</v>
      </c>
      <c r="F56" s="13">
        <v>46090</v>
      </c>
      <c r="G56" s="13">
        <v>46101</v>
      </c>
      <c r="H56" s="15">
        <v>45001</v>
      </c>
      <c r="I56" s="15">
        <v>46099</v>
      </c>
      <c r="J56" s="56"/>
      <c r="K56" s="56"/>
      <c r="L56" s="56">
        <v>10</v>
      </c>
      <c r="M56" s="56"/>
      <c r="N56" s="22"/>
      <c r="O56" s="74" t="s">
        <v>149</v>
      </c>
    </row>
    <row r="57" spans="1:15" s="40" customFormat="1">
      <c r="A57" s="37">
        <f t="shared" si="3"/>
        <v>56</v>
      </c>
      <c r="B57" s="69" t="s">
        <v>114</v>
      </c>
      <c r="C57" s="20" t="s">
        <v>150</v>
      </c>
      <c r="D57" s="35"/>
      <c r="E57" s="35"/>
      <c r="F57" s="36">
        <v>46106</v>
      </c>
      <c r="G57" s="36">
        <v>46118</v>
      </c>
      <c r="H57" s="43">
        <v>46108</v>
      </c>
      <c r="I57" s="43">
        <v>46122</v>
      </c>
      <c r="J57" s="64"/>
      <c r="K57" s="64"/>
      <c r="L57" s="64"/>
      <c r="M57" s="64"/>
      <c r="N57" s="39"/>
      <c r="O57" s="76"/>
    </row>
    <row r="58" spans="1:15">
      <c r="A58" s="54">
        <f>IF(C58="","",ROW()-1)</f>
        <v>57</v>
      </c>
      <c r="B58" s="70" t="s">
        <v>151</v>
      </c>
      <c r="C58" s="18" t="s">
        <v>152</v>
      </c>
      <c r="D58" s="1">
        <v>1</v>
      </c>
      <c r="E58" s="1" t="s">
        <v>104</v>
      </c>
      <c r="F58" s="13">
        <v>46106</v>
      </c>
      <c r="G58" s="13">
        <v>46106</v>
      </c>
      <c r="H58" s="15">
        <v>46108</v>
      </c>
      <c r="I58" s="15">
        <v>46115</v>
      </c>
      <c r="J58" s="56"/>
      <c r="K58" s="56"/>
      <c r="L58" s="56"/>
      <c r="M58" s="56"/>
      <c r="N58" s="22"/>
      <c r="O58" s="61" t="s">
        <v>153</v>
      </c>
    </row>
    <row r="59" spans="1:15">
      <c r="A59" s="54">
        <f>IF(C59="","",ROW()-1)</f>
        <v>58</v>
      </c>
      <c r="B59" s="70" t="s">
        <v>154</v>
      </c>
      <c r="C59" s="18" t="s">
        <v>155</v>
      </c>
      <c r="D59" s="1">
        <v>1</v>
      </c>
      <c r="E59" s="1" t="s">
        <v>104</v>
      </c>
      <c r="F59" s="13">
        <v>46107</v>
      </c>
      <c r="G59" s="13">
        <v>46107</v>
      </c>
      <c r="H59" s="15">
        <v>46108</v>
      </c>
      <c r="I59" s="15">
        <v>46122</v>
      </c>
      <c r="J59" s="56"/>
      <c r="K59" s="56"/>
      <c r="L59" s="56"/>
      <c r="M59" s="56"/>
      <c r="N59" s="22"/>
      <c r="O59" s="61" t="s">
        <v>156</v>
      </c>
    </row>
    <row r="60" spans="1:15">
      <c r="A60" s="54">
        <f>IF(C60="","",ROW()-1)</f>
        <v>59</v>
      </c>
      <c r="B60" s="70" t="s">
        <v>157</v>
      </c>
      <c r="C60" s="18" t="s">
        <v>158</v>
      </c>
      <c r="D60" s="1">
        <v>1</v>
      </c>
      <c r="E60" s="1" t="s">
        <v>75</v>
      </c>
      <c r="F60" s="13">
        <v>46118</v>
      </c>
      <c r="G60" s="13">
        <v>46118</v>
      </c>
      <c r="H60" s="15">
        <v>46118</v>
      </c>
      <c r="I60" s="15">
        <v>46118</v>
      </c>
      <c r="J60" s="56"/>
      <c r="K60" s="56"/>
      <c r="L60" s="56"/>
      <c r="M60" s="56"/>
      <c r="N60" s="22"/>
      <c r="O60" s="61"/>
    </row>
    <row r="61" spans="1:15">
      <c r="A61" s="54">
        <f>IF(C61="","",ROW()-1)</f>
        <v>60</v>
      </c>
      <c r="B61" s="70" t="s">
        <v>159</v>
      </c>
      <c r="C61" s="18" t="s">
        <v>160</v>
      </c>
      <c r="D61" s="1">
        <v>1</v>
      </c>
      <c r="E61" s="1" t="s">
        <v>161</v>
      </c>
      <c r="F61" s="13">
        <v>46108</v>
      </c>
      <c r="G61" s="13">
        <v>46108</v>
      </c>
      <c r="H61" s="15">
        <v>46108</v>
      </c>
      <c r="I61" s="15">
        <v>46115</v>
      </c>
      <c r="J61" s="56"/>
      <c r="K61" s="56"/>
      <c r="L61" s="56"/>
      <c r="M61" s="56"/>
      <c r="N61" s="22"/>
      <c r="O61" s="61" t="s">
        <v>153</v>
      </c>
    </row>
    <row r="62" spans="1:15" s="40" customFormat="1">
      <c r="A62" s="37">
        <f t="shared" si="3"/>
        <v>61</v>
      </c>
      <c r="B62" s="69" t="s">
        <v>162</v>
      </c>
      <c r="C62" s="20" t="s">
        <v>163</v>
      </c>
      <c r="D62" s="35">
        <f>SUM(D63:D72)</f>
        <v>5</v>
      </c>
      <c r="E62" s="35" t="s">
        <v>164</v>
      </c>
      <c r="F62" s="36">
        <v>46132</v>
      </c>
      <c r="G62" s="36">
        <v>46132</v>
      </c>
      <c r="H62" s="43">
        <v>46124</v>
      </c>
      <c r="I62" s="43">
        <v>46124</v>
      </c>
      <c r="J62" s="64"/>
      <c r="K62" s="64"/>
      <c r="L62" s="64"/>
      <c r="M62" s="64"/>
      <c r="N62" s="39"/>
      <c r="O62" s="76"/>
    </row>
    <row r="63" spans="1:15">
      <c r="A63" s="54">
        <f t="shared" si="3"/>
        <v>62</v>
      </c>
      <c r="B63" s="70" t="s">
        <v>165</v>
      </c>
      <c r="C63" s="18" t="s">
        <v>166</v>
      </c>
      <c r="D63" s="1">
        <v>0.5</v>
      </c>
      <c r="E63" s="1" t="s">
        <v>44</v>
      </c>
      <c r="F63" s="13">
        <v>46114</v>
      </c>
      <c r="G63" s="13">
        <v>46122</v>
      </c>
      <c r="H63" s="15">
        <v>46124</v>
      </c>
      <c r="I63" s="15">
        <v>46132</v>
      </c>
      <c r="J63" s="56"/>
      <c r="K63" s="56"/>
      <c r="L63" s="56"/>
      <c r="M63" s="56"/>
      <c r="N63" s="22"/>
      <c r="O63" s="61" t="s">
        <v>167</v>
      </c>
    </row>
    <row r="64" spans="1:15">
      <c r="A64" s="54">
        <f t="shared" si="3"/>
        <v>63</v>
      </c>
      <c r="B64" s="70" t="s">
        <v>168</v>
      </c>
      <c r="C64" s="18" t="s">
        <v>169</v>
      </c>
      <c r="D64" s="1">
        <v>0.5</v>
      </c>
      <c r="E64" s="1" t="s">
        <v>44</v>
      </c>
      <c r="F64" s="13">
        <v>46114</v>
      </c>
      <c r="G64" s="13">
        <v>46122</v>
      </c>
      <c r="H64" s="15">
        <v>46124</v>
      </c>
      <c r="I64" s="15">
        <v>46124</v>
      </c>
      <c r="J64" s="56"/>
      <c r="K64" s="56"/>
      <c r="L64" s="56"/>
      <c r="M64" s="56"/>
      <c r="N64" s="22"/>
      <c r="O64" s="61"/>
    </row>
    <row r="65" spans="1:15" ht="62.45">
      <c r="A65" s="54">
        <f t="shared" si="3"/>
        <v>64</v>
      </c>
      <c r="B65" s="70" t="s">
        <v>170</v>
      </c>
      <c r="C65" s="18" t="s">
        <v>171</v>
      </c>
      <c r="D65" s="1">
        <v>0.5</v>
      </c>
      <c r="E65" s="1" t="s">
        <v>44</v>
      </c>
      <c r="F65" s="13">
        <v>46114</v>
      </c>
      <c r="G65" s="13">
        <v>46122</v>
      </c>
      <c r="H65" s="15">
        <v>46124</v>
      </c>
      <c r="I65" s="15">
        <v>46124</v>
      </c>
      <c r="J65" s="56"/>
      <c r="K65" s="56"/>
      <c r="L65" s="56"/>
      <c r="M65" s="56"/>
      <c r="N65" s="22"/>
      <c r="O65" s="74" t="s">
        <v>172</v>
      </c>
    </row>
    <row r="66" spans="1:15">
      <c r="A66" s="54">
        <f t="shared" si="3"/>
        <v>65</v>
      </c>
      <c r="B66" s="70" t="s">
        <v>173</v>
      </c>
      <c r="C66" s="18" t="s">
        <v>174</v>
      </c>
      <c r="D66" s="1">
        <v>0.5</v>
      </c>
      <c r="E66" s="1" t="s">
        <v>44</v>
      </c>
      <c r="F66" s="13">
        <v>46114</v>
      </c>
      <c r="G66" s="13">
        <v>46122</v>
      </c>
      <c r="H66" s="15">
        <v>46124</v>
      </c>
      <c r="I66" s="15">
        <v>46124</v>
      </c>
      <c r="J66" s="56"/>
      <c r="K66" s="56"/>
      <c r="L66" s="56"/>
      <c r="M66" s="56"/>
      <c r="N66" s="22"/>
      <c r="O66" s="61"/>
    </row>
    <row r="67" spans="1:15">
      <c r="A67" s="54">
        <f t="shared" si="3"/>
        <v>66</v>
      </c>
      <c r="B67" s="70" t="s">
        <v>175</v>
      </c>
      <c r="C67" s="18" t="s">
        <v>176</v>
      </c>
      <c r="D67" s="1">
        <v>0.5</v>
      </c>
      <c r="E67" s="1" t="s">
        <v>44</v>
      </c>
      <c r="F67" s="13">
        <v>46114</v>
      </c>
      <c r="G67" s="13">
        <v>46122</v>
      </c>
      <c r="H67" s="15">
        <v>46124</v>
      </c>
      <c r="I67" s="15">
        <v>46124</v>
      </c>
      <c r="J67" s="56"/>
      <c r="K67" s="56"/>
      <c r="L67" s="56"/>
      <c r="M67" s="56"/>
      <c r="N67" s="22"/>
      <c r="O67" s="61" t="s">
        <v>177</v>
      </c>
    </row>
    <row r="68" spans="1:15">
      <c r="A68" s="54">
        <f t="shared" si="3"/>
        <v>67</v>
      </c>
      <c r="B68" s="70" t="s">
        <v>178</v>
      </c>
      <c r="C68" s="18" t="s">
        <v>179</v>
      </c>
      <c r="D68" s="1">
        <v>0.5</v>
      </c>
      <c r="E68" s="1" t="s">
        <v>44</v>
      </c>
      <c r="F68" s="13">
        <v>46114</v>
      </c>
      <c r="G68" s="13">
        <v>46122</v>
      </c>
      <c r="H68" s="15">
        <v>46124</v>
      </c>
      <c r="I68" s="15">
        <v>46124</v>
      </c>
      <c r="J68" s="56"/>
      <c r="K68" s="56"/>
      <c r="L68" s="56"/>
      <c r="M68" s="56"/>
      <c r="N68" s="22"/>
      <c r="O68" s="61"/>
    </row>
    <row r="69" spans="1:15">
      <c r="A69" s="54">
        <f t="shared" si="3"/>
        <v>68</v>
      </c>
      <c r="B69" s="70" t="s">
        <v>180</v>
      </c>
      <c r="C69" s="18" t="s">
        <v>181</v>
      </c>
      <c r="D69" s="1">
        <v>0.5</v>
      </c>
      <c r="E69" s="1" t="s">
        <v>44</v>
      </c>
      <c r="F69" s="13">
        <v>46114</v>
      </c>
      <c r="G69" s="13">
        <v>46122</v>
      </c>
      <c r="H69" s="15">
        <v>46124</v>
      </c>
      <c r="I69" s="15">
        <v>46124</v>
      </c>
      <c r="J69" s="56"/>
      <c r="K69" s="56"/>
      <c r="L69" s="56"/>
      <c r="M69" s="56"/>
      <c r="N69" s="22"/>
      <c r="O69" s="61" t="s">
        <v>182</v>
      </c>
    </row>
    <row r="70" spans="1:15">
      <c r="A70" s="54">
        <f t="shared" si="3"/>
        <v>69</v>
      </c>
      <c r="B70" s="70" t="s">
        <v>183</v>
      </c>
      <c r="C70" s="18" t="s">
        <v>184</v>
      </c>
      <c r="D70" s="1">
        <v>0.5</v>
      </c>
      <c r="E70" s="1" t="s">
        <v>44</v>
      </c>
      <c r="F70" s="13">
        <v>46114</v>
      </c>
      <c r="G70" s="13">
        <v>46122</v>
      </c>
      <c r="H70" s="15">
        <v>46124</v>
      </c>
      <c r="I70" s="15">
        <v>46124</v>
      </c>
      <c r="J70" s="56"/>
      <c r="K70" s="56"/>
      <c r="L70" s="56"/>
      <c r="M70" s="56"/>
      <c r="N70" s="22"/>
      <c r="O70" s="61"/>
    </row>
    <row r="71" spans="1:15" ht="31.15">
      <c r="A71" s="54">
        <f t="shared" si="3"/>
        <v>70</v>
      </c>
      <c r="B71" s="70" t="s">
        <v>185</v>
      </c>
      <c r="C71" s="18" t="s">
        <v>186</v>
      </c>
      <c r="D71" s="1">
        <v>0.5</v>
      </c>
      <c r="E71" s="1" t="s">
        <v>44</v>
      </c>
      <c r="F71" s="13">
        <v>46114</v>
      </c>
      <c r="G71" s="13">
        <v>46122</v>
      </c>
      <c r="H71" s="15">
        <v>46124</v>
      </c>
      <c r="I71" s="15">
        <v>46124</v>
      </c>
      <c r="J71" s="56"/>
      <c r="K71" s="56"/>
      <c r="L71" s="56"/>
      <c r="M71" s="56"/>
      <c r="N71" s="22"/>
      <c r="O71" s="74" t="s">
        <v>187</v>
      </c>
    </row>
    <row r="72" spans="1:15">
      <c r="A72" s="54">
        <f t="shared" si="3"/>
        <v>71</v>
      </c>
      <c r="B72" s="70" t="s">
        <v>188</v>
      </c>
      <c r="C72" s="18" t="s">
        <v>189</v>
      </c>
      <c r="D72" s="1">
        <v>0.5</v>
      </c>
      <c r="E72" s="1" t="s">
        <v>44</v>
      </c>
      <c r="F72" s="13">
        <v>46114</v>
      </c>
      <c r="G72" s="13">
        <v>46122</v>
      </c>
      <c r="H72" s="15">
        <v>46124</v>
      </c>
      <c r="I72" s="15">
        <v>46124</v>
      </c>
      <c r="J72" s="56"/>
      <c r="K72" s="56"/>
      <c r="L72" s="56"/>
      <c r="M72" s="56"/>
      <c r="N72" s="22"/>
      <c r="O72" s="61"/>
    </row>
    <row r="73" spans="1:15">
      <c r="A73" s="54">
        <f>IF(C73="","",ROW()-1)</f>
        <v>72</v>
      </c>
      <c r="B73" s="70" t="s">
        <v>190</v>
      </c>
      <c r="C73" s="18" t="s">
        <v>191</v>
      </c>
      <c r="D73" s="1">
        <v>1</v>
      </c>
      <c r="E73" s="1" t="s">
        <v>44</v>
      </c>
      <c r="F73" s="13">
        <v>46122</v>
      </c>
      <c r="G73" s="13">
        <v>46132</v>
      </c>
      <c r="H73" s="15">
        <v>46132</v>
      </c>
      <c r="I73" s="15">
        <v>46132</v>
      </c>
      <c r="J73" s="56"/>
      <c r="K73" s="56"/>
      <c r="L73" s="56"/>
      <c r="M73" s="56"/>
      <c r="N73" s="22"/>
      <c r="O73" s="61"/>
    </row>
    <row r="74" spans="1:15" s="40" customFormat="1">
      <c r="A74" s="37">
        <f t="shared" si="3"/>
        <v>73</v>
      </c>
      <c r="B74" s="69" t="s">
        <v>162</v>
      </c>
      <c r="C74" s="20" t="s">
        <v>192</v>
      </c>
      <c r="D74" s="35">
        <v>1</v>
      </c>
      <c r="E74" s="35" t="s">
        <v>96</v>
      </c>
      <c r="F74" s="36">
        <v>46127</v>
      </c>
      <c r="G74" s="36">
        <v>46132</v>
      </c>
      <c r="H74" s="43">
        <v>46136</v>
      </c>
      <c r="I74" s="43">
        <v>46136</v>
      </c>
      <c r="J74" s="64"/>
      <c r="K74" s="64"/>
      <c r="L74" s="64"/>
      <c r="M74" s="64"/>
      <c r="N74" s="39"/>
      <c r="O74" s="76"/>
    </row>
    <row r="75" spans="1:15" s="40" customFormat="1">
      <c r="A75" s="37">
        <f t="shared" si="3"/>
        <v>74</v>
      </c>
      <c r="B75" s="69">
        <v>4</v>
      </c>
      <c r="C75" s="20" t="s">
        <v>193</v>
      </c>
      <c r="D75" s="35">
        <f>SUM(D77:D123)</f>
        <v>208</v>
      </c>
      <c r="E75" s="35"/>
      <c r="F75" s="36">
        <v>46042</v>
      </c>
      <c r="G75" s="36">
        <v>46217</v>
      </c>
      <c r="H75" s="43">
        <v>46042</v>
      </c>
      <c r="I75" s="43"/>
      <c r="J75" s="64"/>
      <c r="K75" s="64"/>
      <c r="L75" s="64"/>
      <c r="M75" s="64"/>
      <c r="N75" s="39"/>
      <c r="O75" s="76"/>
    </row>
    <row r="76" spans="1:15" s="40" customFormat="1">
      <c r="A76" s="118">
        <f>IF(C76="","",ROW()-1)</f>
        <v>75</v>
      </c>
      <c r="B76" s="119">
        <v>4.0999999999999996</v>
      </c>
      <c r="C76" s="20" t="s">
        <v>194</v>
      </c>
      <c r="D76" s="35">
        <f>SUM(D77:D88)</f>
        <v>8.5</v>
      </c>
      <c r="E76" s="35"/>
      <c r="F76" s="36">
        <v>46042</v>
      </c>
      <c r="G76" s="36">
        <v>46063</v>
      </c>
      <c r="H76" s="43">
        <v>46042</v>
      </c>
      <c r="I76" s="43">
        <v>46063</v>
      </c>
      <c r="J76" s="120"/>
      <c r="K76" s="120"/>
      <c r="L76" s="120"/>
      <c r="M76" s="120"/>
      <c r="N76" s="36"/>
      <c r="O76" s="121"/>
    </row>
    <row r="77" spans="1:15">
      <c r="A77" s="37">
        <f t="shared" si="0"/>
        <v>76</v>
      </c>
      <c r="B77" s="70" t="s">
        <v>195</v>
      </c>
      <c r="C77" s="18" t="s">
        <v>196</v>
      </c>
      <c r="D77" s="1">
        <v>0.5</v>
      </c>
      <c r="E77" s="1" t="s">
        <v>104</v>
      </c>
      <c r="F77" s="13">
        <v>46042</v>
      </c>
      <c r="G77" s="13">
        <v>46042</v>
      </c>
      <c r="H77" s="13">
        <v>46043</v>
      </c>
      <c r="I77" s="13">
        <v>46043</v>
      </c>
      <c r="J77" s="56"/>
      <c r="K77" s="56"/>
      <c r="L77" s="56"/>
      <c r="M77" s="56">
        <v>1</v>
      </c>
      <c r="N77" s="22"/>
      <c r="O77" s="61" t="s">
        <v>197</v>
      </c>
    </row>
    <row r="78" spans="1:15">
      <c r="A78" s="37">
        <f t="shared" si="0"/>
        <v>77</v>
      </c>
      <c r="B78" s="70" t="s">
        <v>198</v>
      </c>
      <c r="C78" s="18" t="s">
        <v>199</v>
      </c>
      <c r="D78" s="1">
        <v>0.5</v>
      </c>
      <c r="E78" s="1" t="s">
        <v>104</v>
      </c>
      <c r="F78" s="13">
        <v>46043</v>
      </c>
      <c r="G78" s="13">
        <v>46043</v>
      </c>
      <c r="H78" s="13">
        <v>46043</v>
      </c>
      <c r="I78" s="13">
        <v>46043</v>
      </c>
      <c r="J78" s="56"/>
      <c r="K78" s="56"/>
      <c r="L78" s="56"/>
      <c r="M78" s="56">
        <v>1</v>
      </c>
      <c r="N78" s="22"/>
      <c r="O78" s="61" t="s">
        <v>197</v>
      </c>
    </row>
    <row r="79" spans="1:15" ht="31.15">
      <c r="A79" s="37">
        <f t="shared" si="0"/>
        <v>78</v>
      </c>
      <c r="B79" s="70" t="s">
        <v>200</v>
      </c>
      <c r="C79" s="18" t="s">
        <v>201</v>
      </c>
      <c r="D79" s="1">
        <v>0.5</v>
      </c>
      <c r="E79" s="1" t="s">
        <v>104</v>
      </c>
      <c r="F79" s="13">
        <v>46043</v>
      </c>
      <c r="G79" s="13">
        <v>46043</v>
      </c>
      <c r="H79" s="13">
        <v>46044</v>
      </c>
      <c r="I79" s="13">
        <v>46044</v>
      </c>
      <c r="J79" s="56"/>
      <c r="K79" s="56"/>
      <c r="L79" s="56"/>
      <c r="M79" s="56">
        <v>1</v>
      </c>
      <c r="N79" s="22"/>
      <c r="O79" s="74" t="s">
        <v>202</v>
      </c>
    </row>
    <row r="80" spans="1:15">
      <c r="A80" s="54">
        <f t="shared" si="0"/>
        <v>79</v>
      </c>
      <c r="B80" s="70" t="s">
        <v>203</v>
      </c>
      <c r="C80" s="18" t="s">
        <v>204</v>
      </c>
      <c r="D80" s="1">
        <v>0.5</v>
      </c>
      <c r="E80" s="1" t="s">
        <v>104</v>
      </c>
      <c r="F80" s="13">
        <v>46044</v>
      </c>
      <c r="G80" s="13">
        <v>46044</v>
      </c>
      <c r="H80" s="13">
        <v>46044</v>
      </c>
      <c r="I80" s="13">
        <v>46044</v>
      </c>
      <c r="J80" s="56"/>
      <c r="K80" s="56"/>
      <c r="L80" s="56"/>
      <c r="M80" s="56">
        <v>2</v>
      </c>
      <c r="N80" s="22"/>
      <c r="O80" s="61" t="s">
        <v>205</v>
      </c>
    </row>
    <row r="81" spans="1:15">
      <c r="A81" s="54">
        <f t="shared" si="0"/>
        <v>80</v>
      </c>
      <c r="B81" s="70" t="s">
        <v>206</v>
      </c>
      <c r="C81" s="18" t="s">
        <v>207</v>
      </c>
      <c r="D81" s="1">
        <v>0.5</v>
      </c>
      <c r="E81" s="1" t="s">
        <v>104</v>
      </c>
      <c r="F81" s="13">
        <v>46044</v>
      </c>
      <c r="G81" s="13">
        <v>46044</v>
      </c>
      <c r="H81" s="13">
        <v>46044</v>
      </c>
      <c r="I81" s="15">
        <v>46051</v>
      </c>
      <c r="J81" s="56"/>
      <c r="K81" s="56"/>
      <c r="L81" s="56"/>
      <c r="M81" s="56">
        <v>1</v>
      </c>
      <c r="N81" s="22"/>
      <c r="O81" s="61" t="s">
        <v>208</v>
      </c>
    </row>
    <row r="82" spans="1:15">
      <c r="A82" s="54">
        <f t="shared" si="0"/>
        <v>81</v>
      </c>
      <c r="B82" s="70" t="s">
        <v>209</v>
      </c>
      <c r="C82" s="18" t="s">
        <v>210</v>
      </c>
      <c r="D82" s="1">
        <v>1</v>
      </c>
      <c r="E82" s="1" t="s">
        <v>104</v>
      </c>
      <c r="F82" s="13">
        <v>46045</v>
      </c>
      <c r="G82" s="13">
        <v>46045</v>
      </c>
      <c r="H82" s="15">
        <v>46045</v>
      </c>
      <c r="I82" s="15">
        <v>46049</v>
      </c>
      <c r="J82" s="56"/>
      <c r="K82" s="56"/>
      <c r="L82" s="56"/>
      <c r="M82" s="56">
        <v>4</v>
      </c>
      <c r="N82" s="22"/>
      <c r="O82" s="61" t="s">
        <v>211</v>
      </c>
    </row>
    <row r="83" spans="1:15">
      <c r="A83" s="54">
        <f t="shared" si="0"/>
        <v>82</v>
      </c>
      <c r="B83" s="70" t="s">
        <v>212</v>
      </c>
      <c r="C83" s="18" t="s">
        <v>213</v>
      </c>
      <c r="D83" s="1">
        <v>0.5</v>
      </c>
      <c r="E83" s="1" t="s">
        <v>104</v>
      </c>
      <c r="F83" s="13">
        <v>46049</v>
      </c>
      <c r="G83" s="13">
        <v>46049</v>
      </c>
      <c r="H83" s="15">
        <v>46059</v>
      </c>
      <c r="I83" s="15">
        <v>46059</v>
      </c>
      <c r="J83" s="56"/>
      <c r="K83" s="56"/>
      <c r="L83" s="56"/>
      <c r="M83" s="56">
        <v>1</v>
      </c>
      <c r="N83" s="22"/>
      <c r="O83" s="61" t="s">
        <v>214</v>
      </c>
    </row>
    <row r="84" spans="1:15">
      <c r="A84" s="54">
        <f t="shared" si="0"/>
        <v>83</v>
      </c>
      <c r="B84" s="70" t="s">
        <v>215</v>
      </c>
      <c r="C84" s="18" t="s">
        <v>216</v>
      </c>
      <c r="D84" s="1">
        <v>0.5</v>
      </c>
      <c r="E84" s="1" t="s">
        <v>104</v>
      </c>
      <c r="F84" s="13">
        <v>46050</v>
      </c>
      <c r="G84" s="13">
        <v>46050</v>
      </c>
      <c r="H84" s="15">
        <v>46049</v>
      </c>
      <c r="I84" s="15">
        <v>46049</v>
      </c>
      <c r="J84" s="56"/>
      <c r="K84" s="56"/>
      <c r="L84" s="56"/>
      <c r="M84" s="56">
        <v>1</v>
      </c>
      <c r="N84" s="22"/>
      <c r="O84" s="61" t="s">
        <v>217</v>
      </c>
    </row>
    <row r="85" spans="1:15">
      <c r="A85" s="54">
        <f t="shared" si="0"/>
        <v>84</v>
      </c>
      <c r="B85" s="70" t="s">
        <v>218</v>
      </c>
      <c r="C85" s="18" t="s">
        <v>219</v>
      </c>
      <c r="D85" s="1">
        <v>1</v>
      </c>
      <c r="E85" s="1" t="s">
        <v>104</v>
      </c>
      <c r="F85" s="13">
        <v>46051</v>
      </c>
      <c r="G85" s="13">
        <v>46051</v>
      </c>
      <c r="H85" s="15">
        <v>46057</v>
      </c>
      <c r="I85" s="15">
        <v>46057</v>
      </c>
      <c r="J85" s="56"/>
      <c r="K85" s="56"/>
      <c r="L85" s="56"/>
      <c r="M85" s="56">
        <v>2.5</v>
      </c>
      <c r="N85" s="22"/>
      <c r="O85" s="61" t="s">
        <v>220</v>
      </c>
    </row>
    <row r="86" spans="1:15">
      <c r="A86" s="54">
        <f t="shared" si="0"/>
        <v>85</v>
      </c>
      <c r="B86" s="70" t="s">
        <v>221</v>
      </c>
      <c r="C86" s="18" t="s">
        <v>222</v>
      </c>
      <c r="D86" s="1">
        <v>1</v>
      </c>
      <c r="E86" s="1" t="s">
        <v>104</v>
      </c>
      <c r="F86" s="13">
        <v>46052</v>
      </c>
      <c r="G86" s="13">
        <v>46052</v>
      </c>
      <c r="H86" s="15">
        <v>46056</v>
      </c>
      <c r="I86" s="15">
        <v>46056</v>
      </c>
      <c r="J86" s="56"/>
      <c r="K86" s="56"/>
      <c r="L86" s="56"/>
      <c r="M86" s="56">
        <v>1.5</v>
      </c>
      <c r="N86" s="22"/>
      <c r="O86" s="61" t="s">
        <v>223</v>
      </c>
    </row>
    <row r="87" spans="1:15">
      <c r="A87" s="54">
        <f t="shared" si="0"/>
        <v>86</v>
      </c>
      <c r="B87" s="70" t="s">
        <v>224</v>
      </c>
      <c r="C87" s="18" t="s">
        <v>225</v>
      </c>
      <c r="D87" s="1">
        <v>1</v>
      </c>
      <c r="E87" s="1" t="s">
        <v>104</v>
      </c>
      <c r="F87" s="13">
        <v>46057</v>
      </c>
      <c r="G87" s="13">
        <v>46057</v>
      </c>
      <c r="H87" s="13">
        <v>46044</v>
      </c>
      <c r="I87" s="15">
        <v>46051</v>
      </c>
      <c r="J87" s="56"/>
      <c r="K87" s="56"/>
      <c r="L87" s="56"/>
      <c r="M87" s="56">
        <v>2</v>
      </c>
      <c r="N87" s="22"/>
      <c r="O87" s="61" t="s">
        <v>226</v>
      </c>
    </row>
    <row r="88" spans="1:15">
      <c r="A88" s="54">
        <f t="shared" si="0"/>
        <v>87</v>
      </c>
      <c r="B88" s="70" t="s">
        <v>227</v>
      </c>
      <c r="C88" s="18" t="s">
        <v>228</v>
      </c>
      <c r="D88" s="1">
        <v>1</v>
      </c>
      <c r="E88" s="1" t="s">
        <v>104</v>
      </c>
      <c r="F88" s="13">
        <v>46063</v>
      </c>
      <c r="G88" s="13">
        <v>46063</v>
      </c>
      <c r="H88" s="15">
        <v>46064</v>
      </c>
      <c r="I88" s="15">
        <v>46064</v>
      </c>
      <c r="J88" s="56"/>
      <c r="K88" s="56"/>
      <c r="L88" s="56"/>
      <c r="M88" s="56">
        <v>2</v>
      </c>
      <c r="N88" s="22"/>
      <c r="O88" s="61" t="s">
        <v>229</v>
      </c>
    </row>
    <row r="89" spans="1:15" s="102" customFormat="1" hidden="1">
      <c r="A89" s="95">
        <f t="shared" si="0"/>
        <v>88</v>
      </c>
      <c r="B89" s="93" t="s">
        <v>230</v>
      </c>
      <c r="C89" s="94" t="s">
        <v>231</v>
      </c>
      <c r="D89" s="96">
        <v>1</v>
      </c>
      <c r="E89" s="96" t="s">
        <v>104</v>
      </c>
      <c r="F89" s="97"/>
      <c r="G89" s="97"/>
      <c r="H89" s="98"/>
      <c r="I89" s="98"/>
      <c r="J89" s="99"/>
      <c r="K89" s="99"/>
      <c r="L89" s="99"/>
      <c r="M89" s="99"/>
      <c r="N89" s="100"/>
      <c r="O89" s="101"/>
    </row>
    <row r="90" spans="1:15" s="102" customFormat="1" hidden="1">
      <c r="A90" s="95">
        <f t="shared" si="0"/>
        <v>89</v>
      </c>
      <c r="B90" s="93" t="s">
        <v>232</v>
      </c>
      <c r="C90" s="94" t="s">
        <v>233</v>
      </c>
      <c r="D90" s="96">
        <v>1</v>
      </c>
      <c r="E90" s="96" t="s">
        <v>104</v>
      </c>
      <c r="F90" s="97"/>
      <c r="G90" s="97"/>
      <c r="H90" s="98"/>
      <c r="I90" s="98"/>
      <c r="J90" s="99"/>
      <c r="K90" s="99"/>
      <c r="L90" s="99"/>
      <c r="M90" s="99"/>
      <c r="N90" s="100"/>
      <c r="O90" s="103"/>
    </row>
    <row r="91" spans="1:15" s="40" customFormat="1">
      <c r="A91" s="37">
        <f t="shared" si="0"/>
        <v>90</v>
      </c>
      <c r="B91" s="69">
        <v>4.2</v>
      </c>
      <c r="C91" s="20" t="s">
        <v>234</v>
      </c>
      <c r="D91" s="35">
        <f>SUM(D92:D105)</f>
        <v>29.5</v>
      </c>
      <c r="E91" s="35" t="s">
        <v>104</v>
      </c>
      <c r="F91" s="36">
        <v>46139</v>
      </c>
      <c r="G91" s="36">
        <v>46139</v>
      </c>
      <c r="H91" s="43">
        <v>46139</v>
      </c>
      <c r="I91" s="43"/>
      <c r="J91" s="64"/>
      <c r="K91" s="64"/>
      <c r="L91" s="64"/>
      <c r="M91" s="64"/>
      <c r="N91" s="39"/>
      <c r="O91" s="76"/>
    </row>
    <row r="92" spans="1:15">
      <c r="A92" s="54">
        <f t="shared" si="0"/>
        <v>91</v>
      </c>
      <c r="B92" s="70" t="s">
        <v>235</v>
      </c>
      <c r="C92" s="18" t="s">
        <v>236</v>
      </c>
      <c r="D92" s="1">
        <v>1</v>
      </c>
      <c r="E92" s="1" t="s">
        <v>104</v>
      </c>
      <c r="F92" s="13">
        <v>46139</v>
      </c>
      <c r="G92" s="13">
        <v>46140</v>
      </c>
      <c r="H92" s="13">
        <v>46139</v>
      </c>
      <c r="I92" s="13">
        <v>46140</v>
      </c>
      <c r="J92" s="56"/>
      <c r="K92" s="56"/>
      <c r="L92" s="56"/>
      <c r="M92" s="56"/>
      <c r="N92" s="22"/>
      <c r="O92" s="76"/>
    </row>
    <row r="93" spans="1:15">
      <c r="A93" s="54">
        <f t="shared" si="0"/>
        <v>92</v>
      </c>
      <c r="B93" s="70" t="s">
        <v>237</v>
      </c>
      <c r="C93" s="18" t="s">
        <v>238</v>
      </c>
      <c r="D93" s="1">
        <v>1</v>
      </c>
      <c r="E93" s="1" t="s">
        <v>104</v>
      </c>
      <c r="F93" s="13">
        <v>46142</v>
      </c>
      <c r="G93" s="13">
        <v>46146</v>
      </c>
      <c r="H93" s="13">
        <v>46142</v>
      </c>
      <c r="I93" s="13">
        <v>46146</v>
      </c>
      <c r="J93" s="56"/>
      <c r="K93" s="56"/>
      <c r="L93" s="56"/>
      <c r="M93" s="56"/>
      <c r="N93" s="22"/>
      <c r="O93" s="76"/>
    </row>
    <row r="94" spans="1:15">
      <c r="A94" s="54">
        <f t="shared" si="0"/>
        <v>93</v>
      </c>
      <c r="B94" s="70" t="s">
        <v>239</v>
      </c>
      <c r="C94" s="18" t="s">
        <v>240</v>
      </c>
      <c r="D94" s="1">
        <v>1</v>
      </c>
      <c r="E94" s="1" t="s">
        <v>104</v>
      </c>
      <c r="F94" s="13">
        <v>46148</v>
      </c>
      <c r="G94" s="13">
        <v>46149</v>
      </c>
      <c r="H94" s="13">
        <v>46148</v>
      </c>
      <c r="I94" s="13">
        <v>46149</v>
      </c>
      <c r="J94" s="56"/>
      <c r="K94" s="56"/>
      <c r="L94" s="56"/>
      <c r="M94" s="56"/>
      <c r="N94" s="22"/>
      <c r="O94" s="76"/>
    </row>
    <row r="95" spans="1:15">
      <c r="A95" s="54">
        <f t="shared" si="0"/>
        <v>94</v>
      </c>
      <c r="B95" s="70" t="s">
        <v>241</v>
      </c>
      <c r="C95" s="18" t="s">
        <v>242</v>
      </c>
      <c r="D95" s="1">
        <v>1</v>
      </c>
      <c r="E95" s="1" t="s">
        <v>104</v>
      </c>
      <c r="F95" s="13">
        <v>46153</v>
      </c>
      <c r="G95" s="13">
        <v>46154</v>
      </c>
      <c r="H95" s="13">
        <v>46153</v>
      </c>
      <c r="I95" s="13">
        <v>46154</v>
      </c>
      <c r="J95" s="56"/>
      <c r="K95" s="56"/>
      <c r="L95" s="56"/>
      <c r="M95" s="56"/>
      <c r="N95" s="22"/>
      <c r="O95" s="76"/>
    </row>
    <row r="96" spans="1:15">
      <c r="A96" s="54">
        <f t="shared" si="0"/>
        <v>95</v>
      </c>
      <c r="B96" s="70" t="s">
        <v>243</v>
      </c>
      <c r="C96" s="18" t="s">
        <v>244</v>
      </c>
      <c r="D96" s="1">
        <v>1</v>
      </c>
      <c r="E96" s="1" t="s">
        <v>104</v>
      </c>
      <c r="F96" s="13">
        <v>46156</v>
      </c>
      <c r="G96" s="13">
        <v>46157</v>
      </c>
      <c r="H96" s="13">
        <v>46156</v>
      </c>
      <c r="I96" s="13">
        <v>46157</v>
      </c>
      <c r="J96" s="56"/>
      <c r="K96" s="56"/>
      <c r="L96" s="56"/>
      <c r="M96" s="56"/>
      <c r="N96" s="22"/>
      <c r="O96" s="76"/>
    </row>
    <row r="97" spans="1:15">
      <c r="A97" s="54">
        <f t="shared" si="0"/>
        <v>96</v>
      </c>
      <c r="B97" s="70" t="s">
        <v>245</v>
      </c>
      <c r="C97" s="18" t="s">
        <v>246</v>
      </c>
      <c r="D97" s="1">
        <v>1</v>
      </c>
      <c r="E97" s="1" t="s">
        <v>104</v>
      </c>
      <c r="F97" s="13">
        <v>46161</v>
      </c>
      <c r="G97" s="13">
        <v>46162</v>
      </c>
      <c r="H97" s="13">
        <v>46161</v>
      </c>
      <c r="I97" s="13">
        <v>46162</v>
      </c>
      <c r="J97" s="56"/>
      <c r="K97" s="56"/>
      <c r="L97" s="56"/>
      <c r="M97" s="56"/>
      <c r="N97" s="22"/>
      <c r="O97" s="76"/>
    </row>
    <row r="98" spans="1:15">
      <c r="A98" s="54">
        <f t="shared" si="0"/>
        <v>97</v>
      </c>
      <c r="B98" s="70" t="s">
        <v>247</v>
      </c>
      <c r="C98" s="18" t="s">
        <v>248</v>
      </c>
      <c r="D98" s="1">
        <v>1</v>
      </c>
      <c r="E98" s="1" t="s">
        <v>104</v>
      </c>
      <c r="F98" s="13">
        <v>46164</v>
      </c>
      <c r="G98" s="13">
        <v>46167</v>
      </c>
      <c r="H98" s="13">
        <v>46164</v>
      </c>
      <c r="I98" s="13">
        <v>46167</v>
      </c>
      <c r="J98" s="56"/>
      <c r="K98" s="56"/>
      <c r="L98" s="56"/>
      <c r="M98" s="56"/>
      <c r="N98" s="22"/>
      <c r="O98" s="76"/>
    </row>
    <row r="99" spans="1:15">
      <c r="A99" s="54">
        <f t="shared" si="0"/>
        <v>98</v>
      </c>
      <c r="B99" s="70" t="s">
        <v>249</v>
      </c>
      <c r="C99" s="18" t="s">
        <v>250</v>
      </c>
      <c r="D99" s="1">
        <v>1</v>
      </c>
      <c r="E99" s="1" t="s">
        <v>104</v>
      </c>
      <c r="F99" s="13">
        <v>46169</v>
      </c>
      <c r="G99" s="13">
        <v>46170</v>
      </c>
      <c r="H99" s="13">
        <v>46169</v>
      </c>
      <c r="I99" s="13">
        <v>46170</v>
      </c>
      <c r="J99" s="56"/>
      <c r="K99" s="56"/>
      <c r="L99" s="56"/>
      <c r="M99" s="56"/>
      <c r="N99" s="22"/>
      <c r="O99" s="76"/>
    </row>
    <row r="100" spans="1:15">
      <c r="A100" s="54">
        <f t="shared" si="0"/>
        <v>99</v>
      </c>
      <c r="B100" s="70" t="s">
        <v>251</v>
      </c>
      <c r="C100" s="18" t="s">
        <v>252</v>
      </c>
      <c r="D100" s="1">
        <v>1</v>
      </c>
      <c r="E100" s="1" t="s">
        <v>104</v>
      </c>
      <c r="F100" s="13">
        <v>46174</v>
      </c>
      <c r="G100" s="13">
        <v>46175</v>
      </c>
      <c r="H100" s="13">
        <v>46174</v>
      </c>
      <c r="I100" s="13">
        <v>46175</v>
      </c>
      <c r="J100" s="56"/>
      <c r="K100" s="56"/>
      <c r="L100" s="56"/>
      <c r="M100" s="56"/>
      <c r="N100" s="22"/>
      <c r="O100" s="76"/>
    </row>
    <row r="101" spans="1:15">
      <c r="A101" s="54">
        <f t="shared" si="0"/>
        <v>100</v>
      </c>
      <c r="B101" s="70" t="s">
        <v>253</v>
      </c>
      <c r="C101" s="18" t="s">
        <v>254</v>
      </c>
      <c r="D101" s="1">
        <v>1</v>
      </c>
      <c r="E101" s="1" t="s">
        <v>104</v>
      </c>
      <c r="F101" s="13">
        <v>46177</v>
      </c>
      <c r="G101" s="13">
        <v>46178</v>
      </c>
      <c r="H101" s="13">
        <v>46177</v>
      </c>
      <c r="I101" s="13">
        <v>46178</v>
      </c>
      <c r="J101" s="56"/>
      <c r="K101" s="56"/>
      <c r="L101" s="56"/>
      <c r="M101" s="56"/>
      <c r="N101" s="22"/>
      <c r="O101" s="76"/>
    </row>
    <row r="102" spans="1:15">
      <c r="A102" s="54">
        <f t="shared" si="0"/>
        <v>101</v>
      </c>
      <c r="B102" s="70" t="s">
        <v>255</v>
      </c>
      <c r="C102" s="18" t="s">
        <v>256</v>
      </c>
      <c r="D102" s="1">
        <v>1</v>
      </c>
      <c r="E102" s="1" t="s">
        <v>104</v>
      </c>
      <c r="F102" s="13">
        <v>46182</v>
      </c>
      <c r="G102" s="13">
        <v>46183</v>
      </c>
      <c r="H102" s="13">
        <v>46182</v>
      </c>
      <c r="I102" s="13">
        <v>46183</v>
      </c>
      <c r="J102" s="56"/>
      <c r="K102" s="56"/>
      <c r="L102" s="56"/>
      <c r="M102" s="56"/>
      <c r="N102" s="22"/>
      <c r="O102" s="76"/>
    </row>
    <row r="103" spans="1:15">
      <c r="A103" s="54">
        <f t="shared" si="0"/>
        <v>102</v>
      </c>
      <c r="B103" s="70" t="s">
        <v>257</v>
      </c>
      <c r="C103" s="18" t="s">
        <v>258</v>
      </c>
      <c r="D103" s="1">
        <v>1</v>
      </c>
      <c r="E103" s="1" t="s">
        <v>104</v>
      </c>
      <c r="F103" s="13">
        <v>46185</v>
      </c>
      <c r="G103" s="13">
        <v>46188</v>
      </c>
      <c r="H103" s="13">
        <v>46185</v>
      </c>
      <c r="I103" s="13">
        <v>46188</v>
      </c>
      <c r="J103" s="56"/>
      <c r="K103" s="56"/>
      <c r="L103" s="56"/>
      <c r="M103" s="56"/>
      <c r="N103" s="22"/>
      <c r="O103" s="76"/>
    </row>
    <row r="104" spans="1:15">
      <c r="A104" s="54">
        <f t="shared" si="0"/>
        <v>103</v>
      </c>
      <c r="B104" s="70" t="s">
        <v>259</v>
      </c>
      <c r="C104" s="18" t="s">
        <v>260</v>
      </c>
      <c r="D104" s="1">
        <v>11</v>
      </c>
      <c r="E104" s="1" t="s">
        <v>104</v>
      </c>
      <c r="F104" s="13">
        <v>46146</v>
      </c>
      <c r="G104" s="13">
        <v>46164</v>
      </c>
      <c r="H104" s="13">
        <v>46146</v>
      </c>
      <c r="I104" s="13">
        <v>46164</v>
      </c>
      <c r="J104" s="56"/>
      <c r="K104" s="56"/>
      <c r="L104" s="56"/>
      <c r="M104" s="56"/>
      <c r="N104" s="22"/>
      <c r="O104" s="76"/>
    </row>
    <row r="105" spans="1:15">
      <c r="A105" s="54">
        <f t="shared" si="0"/>
        <v>104</v>
      </c>
      <c r="B105" s="70" t="s">
        <v>261</v>
      </c>
      <c r="C105" s="18" t="s">
        <v>262</v>
      </c>
      <c r="D105" s="1">
        <v>6.5</v>
      </c>
      <c r="E105" s="1" t="s">
        <v>104</v>
      </c>
      <c r="F105" s="13">
        <v>46114</v>
      </c>
      <c r="G105" s="13">
        <v>46144</v>
      </c>
      <c r="H105" s="13">
        <v>46114</v>
      </c>
      <c r="I105" s="13">
        <v>46144</v>
      </c>
      <c r="J105" s="56"/>
      <c r="K105" s="56"/>
      <c r="L105" s="56"/>
      <c r="M105" s="56"/>
      <c r="N105" s="22"/>
      <c r="O105" s="76"/>
    </row>
    <row r="106" spans="1:15" s="40" customFormat="1">
      <c r="A106" s="37">
        <f t="shared" si="0"/>
        <v>105</v>
      </c>
      <c r="B106" s="69">
        <v>4.3</v>
      </c>
      <c r="C106" s="20" t="s">
        <v>263</v>
      </c>
      <c r="D106" s="35">
        <f>SUM(D107:D119)</f>
        <v>13</v>
      </c>
      <c r="E106" s="35" t="s">
        <v>264</v>
      </c>
      <c r="F106" s="13">
        <v>46204</v>
      </c>
      <c r="G106" s="13">
        <v>46212</v>
      </c>
      <c r="H106" s="43">
        <v>46203</v>
      </c>
      <c r="I106" s="43">
        <v>46203</v>
      </c>
      <c r="J106" s="64"/>
      <c r="K106" s="64"/>
      <c r="L106" s="64"/>
      <c r="M106" s="64"/>
      <c r="N106" s="39"/>
      <c r="O106" s="76"/>
    </row>
    <row r="107" spans="1:15">
      <c r="A107" s="54">
        <f t="shared" si="0"/>
        <v>106</v>
      </c>
      <c r="B107" s="70" t="s">
        <v>265</v>
      </c>
      <c r="C107" s="18" t="s">
        <v>266</v>
      </c>
      <c r="D107" s="1">
        <v>1</v>
      </c>
      <c r="E107" s="1" t="s">
        <v>264</v>
      </c>
      <c r="F107" s="13">
        <v>46204</v>
      </c>
      <c r="G107" s="13">
        <v>46212</v>
      </c>
      <c r="H107" s="43">
        <v>46203</v>
      </c>
      <c r="I107" s="43">
        <v>46203</v>
      </c>
      <c r="J107" s="56"/>
      <c r="K107" s="56"/>
      <c r="L107" s="56"/>
      <c r="M107" s="56"/>
      <c r="N107" s="22"/>
      <c r="O107" s="61"/>
    </row>
    <row r="108" spans="1:15">
      <c r="A108" s="54">
        <f t="shared" si="0"/>
        <v>107</v>
      </c>
      <c r="B108" s="70" t="s">
        <v>267</v>
      </c>
      <c r="C108" s="18" t="s">
        <v>268</v>
      </c>
      <c r="D108" s="1">
        <v>1</v>
      </c>
      <c r="E108" s="1" t="s">
        <v>264</v>
      </c>
      <c r="F108" s="13">
        <v>46204</v>
      </c>
      <c r="G108" s="13">
        <v>46212</v>
      </c>
      <c r="H108" s="43">
        <v>46203</v>
      </c>
      <c r="I108" s="43">
        <v>46203</v>
      </c>
      <c r="J108" s="56"/>
      <c r="K108" s="56"/>
      <c r="L108" s="56"/>
      <c r="M108" s="56"/>
      <c r="N108" s="22"/>
      <c r="O108" s="61"/>
    </row>
    <row r="109" spans="1:15">
      <c r="A109" s="54">
        <f t="shared" si="0"/>
        <v>108</v>
      </c>
      <c r="B109" s="70" t="s">
        <v>269</v>
      </c>
      <c r="C109" s="18" t="s">
        <v>270</v>
      </c>
      <c r="D109" s="1">
        <v>1</v>
      </c>
      <c r="E109" s="1" t="s">
        <v>264</v>
      </c>
      <c r="F109" s="13">
        <v>46204</v>
      </c>
      <c r="G109" s="13">
        <v>46212</v>
      </c>
      <c r="H109" s="43">
        <v>46203</v>
      </c>
      <c r="I109" s="43">
        <v>46203</v>
      </c>
      <c r="J109" s="56"/>
      <c r="K109" s="56"/>
      <c r="L109" s="56"/>
      <c r="M109" s="56"/>
      <c r="N109" s="22"/>
      <c r="O109" s="61"/>
    </row>
    <row r="110" spans="1:15">
      <c r="A110" s="54">
        <f t="shared" si="0"/>
        <v>109</v>
      </c>
      <c r="B110" s="70" t="s">
        <v>271</v>
      </c>
      <c r="C110" s="18" t="s">
        <v>272</v>
      </c>
      <c r="D110" s="1">
        <v>1</v>
      </c>
      <c r="E110" s="1" t="s">
        <v>264</v>
      </c>
      <c r="F110" s="13">
        <v>46204</v>
      </c>
      <c r="G110" s="13">
        <v>46212</v>
      </c>
      <c r="H110" s="43">
        <v>46203</v>
      </c>
      <c r="I110" s="43">
        <v>46203</v>
      </c>
      <c r="J110" s="56"/>
      <c r="K110" s="56"/>
      <c r="L110" s="56"/>
      <c r="M110" s="56"/>
      <c r="N110" s="22"/>
      <c r="O110" s="61"/>
    </row>
    <row r="111" spans="1:15">
      <c r="A111" s="54">
        <f t="shared" si="0"/>
        <v>110</v>
      </c>
      <c r="B111" s="70" t="s">
        <v>273</v>
      </c>
      <c r="C111" s="18" t="s">
        <v>274</v>
      </c>
      <c r="D111" s="1">
        <v>1</v>
      </c>
      <c r="E111" s="1" t="s">
        <v>264</v>
      </c>
      <c r="F111" s="13">
        <v>46204</v>
      </c>
      <c r="G111" s="13">
        <v>46212</v>
      </c>
      <c r="H111" s="43">
        <v>46203</v>
      </c>
      <c r="I111" s="43">
        <v>46203</v>
      </c>
      <c r="J111" s="56"/>
      <c r="K111" s="56"/>
      <c r="L111" s="56"/>
      <c r="M111" s="56"/>
      <c r="N111" s="22"/>
      <c r="O111" s="61"/>
    </row>
    <row r="112" spans="1:15">
      <c r="A112" s="54">
        <f t="shared" si="0"/>
        <v>111</v>
      </c>
      <c r="B112" s="70" t="s">
        <v>275</v>
      </c>
      <c r="C112" s="18" t="s">
        <v>276</v>
      </c>
      <c r="D112" s="1">
        <v>1</v>
      </c>
      <c r="E112" s="1" t="s">
        <v>264</v>
      </c>
      <c r="F112" s="13">
        <v>46204</v>
      </c>
      <c r="G112" s="13">
        <v>46212</v>
      </c>
      <c r="H112" s="43">
        <v>46203</v>
      </c>
      <c r="I112" s="43">
        <v>46203</v>
      </c>
      <c r="J112" s="56"/>
      <c r="K112" s="56"/>
      <c r="L112" s="56"/>
      <c r="M112" s="56"/>
      <c r="N112" s="22"/>
      <c r="O112" s="61"/>
    </row>
    <row r="113" spans="1:15">
      <c r="A113" s="54">
        <f t="shared" si="0"/>
        <v>112</v>
      </c>
      <c r="B113" s="70" t="s">
        <v>277</v>
      </c>
      <c r="C113" s="18" t="s">
        <v>278</v>
      </c>
      <c r="D113" s="1">
        <v>1</v>
      </c>
      <c r="E113" s="1" t="s">
        <v>264</v>
      </c>
      <c r="F113" s="13">
        <v>46204</v>
      </c>
      <c r="G113" s="13">
        <v>46212</v>
      </c>
      <c r="H113" s="43">
        <v>46203</v>
      </c>
      <c r="I113" s="43">
        <v>46203</v>
      </c>
      <c r="J113" s="56"/>
      <c r="K113" s="56"/>
      <c r="L113" s="56"/>
      <c r="M113" s="56"/>
      <c r="N113" s="22"/>
      <c r="O113" s="61"/>
    </row>
    <row r="114" spans="1:15">
      <c r="A114" s="54">
        <f t="shared" si="0"/>
        <v>113</v>
      </c>
      <c r="B114" s="70" t="s">
        <v>279</v>
      </c>
      <c r="C114" s="18" t="s">
        <v>280</v>
      </c>
      <c r="D114" s="1">
        <v>1</v>
      </c>
      <c r="E114" s="1" t="s">
        <v>264</v>
      </c>
      <c r="F114" s="13">
        <v>46204</v>
      </c>
      <c r="G114" s="13">
        <v>46212</v>
      </c>
      <c r="H114" s="43">
        <v>46203</v>
      </c>
      <c r="I114" s="43">
        <v>46203</v>
      </c>
      <c r="J114" s="56"/>
      <c r="K114" s="56"/>
      <c r="L114" s="56"/>
      <c r="M114" s="56"/>
      <c r="N114" s="22"/>
      <c r="O114" s="61"/>
    </row>
    <row r="115" spans="1:15">
      <c r="A115" s="54">
        <f t="shared" si="0"/>
        <v>114</v>
      </c>
      <c r="B115" s="70" t="s">
        <v>281</v>
      </c>
      <c r="C115" s="18" t="s">
        <v>282</v>
      </c>
      <c r="D115" s="1">
        <v>1</v>
      </c>
      <c r="E115" s="1" t="s">
        <v>264</v>
      </c>
      <c r="F115" s="13">
        <v>46204</v>
      </c>
      <c r="G115" s="13">
        <v>46212</v>
      </c>
      <c r="H115" s="43">
        <v>46203</v>
      </c>
      <c r="I115" s="43">
        <v>46203</v>
      </c>
      <c r="J115" s="56"/>
      <c r="K115" s="56"/>
      <c r="L115" s="56"/>
      <c r="M115" s="56"/>
      <c r="N115" s="22"/>
      <c r="O115" s="61"/>
    </row>
    <row r="116" spans="1:15">
      <c r="A116" s="54">
        <f t="shared" si="0"/>
        <v>115</v>
      </c>
      <c r="B116" s="70" t="s">
        <v>283</v>
      </c>
      <c r="C116" s="18" t="s">
        <v>284</v>
      </c>
      <c r="D116" s="1">
        <v>1</v>
      </c>
      <c r="E116" s="1" t="s">
        <v>264</v>
      </c>
      <c r="F116" s="13">
        <v>46204</v>
      </c>
      <c r="G116" s="13">
        <v>46212</v>
      </c>
      <c r="H116" s="43">
        <v>46203</v>
      </c>
      <c r="I116" s="43">
        <v>46203</v>
      </c>
      <c r="J116" s="56"/>
      <c r="K116" s="56"/>
      <c r="L116" s="56"/>
      <c r="M116" s="56"/>
      <c r="N116" s="22"/>
      <c r="O116" s="61"/>
    </row>
    <row r="117" spans="1:15">
      <c r="A117" s="54">
        <f t="shared" si="0"/>
        <v>116</v>
      </c>
      <c r="B117" s="70" t="s">
        <v>285</v>
      </c>
      <c r="C117" s="18" t="s">
        <v>286</v>
      </c>
      <c r="D117" s="1">
        <v>1</v>
      </c>
      <c r="E117" s="1" t="s">
        <v>264</v>
      </c>
      <c r="F117" s="13">
        <v>46204</v>
      </c>
      <c r="G117" s="13">
        <v>46212</v>
      </c>
      <c r="H117" s="43">
        <v>46203</v>
      </c>
      <c r="I117" s="43">
        <v>46203</v>
      </c>
      <c r="J117" s="56"/>
      <c r="K117" s="56"/>
      <c r="L117" s="56"/>
      <c r="M117" s="56"/>
      <c r="N117" s="22"/>
      <c r="O117" s="61"/>
    </row>
    <row r="118" spans="1:15">
      <c r="A118" s="54">
        <f>IF(C118="","",ROW()-1)</f>
        <v>117</v>
      </c>
      <c r="B118" s="70" t="s">
        <v>287</v>
      </c>
      <c r="C118" s="18" t="s">
        <v>288</v>
      </c>
      <c r="D118" s="1">
        <v>1</v>
      </c>
      <c r="E118" s="1" t="s">
        <v>264</v>
      </c>
      <c r="F118" s="13">
        <v>46204</v>
      </c>
      <c r="G118" s="13">
        <v>46212</v>
      </c>
      <c r="H118" s="43">
        <v>46203</v>
      </c>
      <c r="I118" s="43">
        <v>46203</v>
      </c>
      <c r="J118" s="56"/>
      <c r="K118" s="56"/>
      <c r="L118" s="56"/>
      <c r="M118" s="56"/>
      <c r="N118" s="22"/>
      <c r="O118" s="61"/>
    </row>
    <row r="119" spans="1:15">
      <c r="A119" s="54">
        <f t="shared" si="0"/>
        <v>118</v>
      </c>
      <c r="B119" s="70" t="s">
        <v>289</v>
      </c>
      <c r="C119" s="18" t="s">
        <v>290</v>
      </c>
      <c r="D119" s="1">
        <v>1</v>
      </c>
      <c r="E119" s="1" t="s">
        <v>264</v>
      </c>
      <c r="F119" s="13">
        <v>46204</v>
      </c>
      <c r="G119" s="13">
        <v>46212</v>
      </c>
      <c r="H119" s="43">
        <v>46203</v>
      </c>
      <c r="I119" s="43">
        <v>46203</v>
      </c>
      <c r="J119" s="56"/>
      <c r="K119" s="56"/>
      <c r="L119" s="56"/>
      <c r="M119" s="56"/>
      <c r="N119" s="22"/>
      <c r="O119" s="61"/>
    </row>
    <row r="120" spans="1:15">
      <c r="A120" s="54">
        <f>IF(C120="","",ROW()-1)</f>
        <v>119</v>
      </c>
      <c r="B120" s="70" t="s">
        <v>291</v>
      </c>
      <c r="C120" s="18" t="s">
        <v>292</v>
      </c>
      <c r="D120" s="1">
        <v>6.5</v>
      </c>
      <c r="E120" s="1" t="s">
        <v>104</v>
      </c>
      <c r="F120" s="13">
        <v>46204</v>
      </c>
      <c r="G120" s="13">
        <v>46209</v>
      </c>
      <c r="H120" s="15">
        <v>46204</v>
      </c>
      <c r="I120" s="15">
        <v>46213</v>
      </c>
      <c r="J120" s="56"/>
      <c r="K120" s="56"/>
      <c r="L120" s="56"/>
      <c r="M120" s="56"/>
      <c r="N120" s="22"/>
      <c r="O120" s="61"/>
    </row>
    <row r="121" spans="1:15">
      <c r="A121" s="54">
        <f>IF(C121="","",ROW()-1)</f>
        <v>120</v>
      </c>
      <c r="B121" s="70" t="s">
        <v>293</v>
      </c>
      <c r="C121" s="18" t="s">
        <v>294</v>
      </c>
      <c r="D121" s="1">
        <v>5</v>
      </c>
      <c r="E121" s="1" t="s">
        <v>264</v>
      </c>
      <c r="F121" s="13">
        <v>46204</v>
      </c>
      <c r="G121" s="13">
        <v>46209</v>
      </c>
      <c r="H121" s="15">
        <v>46204</v>
      </c>
      <c r="I121" s="15">
        <v>46213</v>
      </c>
      <c r="J121" s="56"/>
      <c r="K121" s="56"/>
      <c r="L121" s="56"/>
      <c r="M121" s="56"/>
      <c r="N121" s="22"/>
      <c r="O121" s="61"/>
    </row>
    <row r="122" spans="1:15">
      <c r="A122" s="54">
        <f>IF(C122="","",ROW()-1)</f>
        <v>121</v>
      </c>
      <c r="B122" s="70" t="s">
        <v>295</v>
      </c>
      <c r="C122" s="18" t="s">
        <v>296</v>
      </c>
      <c r="D122" s="1">
        <v>2</v>
      </c>
      <c r="E122" s="1" t="s">
        <v>104</v>
      </c>
      <c r="F122" s="13">
        <v>46212</v>
      </c>
      <c r="G122" s="13">
        <v>46213</v>
      </c>
      <c r="H122" s="15">
        <v>46204</v>
      </c>
      <c r="I122" s="15">
        <v>46213</v>
      </c>
      <c r="J122" s="56"/>
      <c r="K122" s="56"/>
      <c r="L122" s="56"/>
      <c r="M122" s="56"/>
      <c r="N122" s="22"/>
      <c r="O122" s="61"/>
    </row>
    <row r="123" spans="1:15" s="40" customFormat="1">
      <c r="A123" s="37">
        <f t="shared" si="0"/>
        <v>122</v>
      </c>
      <c r="B123" s="69" t="s">
        <v>297</v>
      </c>
      <c r="C123" s="83" t="s">
        <v>298</v>
      </c>
      <c r="D123" s="84">
        <v>99</v>
      </c>
      <c r="E123" s="84" t="s">
        <v>75</v>
      </c>
      <c r="F123" s="85">
        <v>46076</v>
      </c>
      <c r="G123" s="85">
        <v>46191</v>
      </c>
      <c r="H123" s="43">
        <v>46076</v>
      </c>
      <c r="I123" s="43"/>
      <c r="J123" s="64"/>
      <c r="K123" s="64"/>
      <c r="L123" s="64"/>
      <c r="M123" s="64"/>
      <c r="N123" s="39"/>
      <c r="O123" s="76"/>
    </row>
    <row r="124" spans="1:15" s="107" customFormat="1">
      <c r="A124" s="111">
        <f t="shared" si="0"/>
        <v>123</v>
      </c>
      <c r="B124" s="112" t="s">
        <v>299</v>
      </c>
      <c r="C124" s="113" t="s">
        <v>300</v>
      </c>
      <c r="D124" s="114">
        <v>11</v>
      </c>
      <c r="E124" s="114" t="s">
        <v>301</v>
      </c>
      <c r="F124" s="115">
        <v>46076</v>
      </c>
      <c r="G124" s="115">
        <v>46079</v>
      </c>
      <c r="H124" s="43">
        <v>46076</v>
      </c>
      <c r="I124" s="104"/>
      <c r="J124" s="105"/>
      <c r="K124" s="105"/>
      <c r="L124" s="105"/>
      <c r="M124" s="105"/>
      <c r="N124" s="106"/>
      <c r="O124" s="122" t="s">
        <v>302</v>
      </c>
    </row>
    <row r="125" spans="1:15" s="107" customFormat="1">
      <c r="A125" s="111">
        <f>IF(C125="","",ROW()-1)</f>
        <v>124</v>
      </c>
      <c r="B125" s="112" t="s">
        <v>303</v>
      </c>
      <c r="C125" s="113" t="s">
        <v>304</v>
      </c>
      <c r="D125" s="114">
        <v>11</v>
      </c>
      <c r="E125" s="114" t="s">
        <v>301</v>
      </c>
      <c r="F125" s="115">
        <v>46083</v>
      </c>
      <c r="G125" s="115">
        <v>46091</v>
      </c>
      <c r="H125" s="43">
        <v>46076</v>
      </c>
      <c r="I125" s="104"/>
      <c r="J125" s="105"/>
      <c r="K125" s="105"/>
      <c r="L125" s="105"/>
      <c r="M125" s="105"/>
      <c r="N125" s="106"/>
      <c r="O125" s="122" t="s">
        <v>305</v>
      </c>
    </row>
    <row r="126" spans="1:15" s="107" customFormat="1">
      <c r="A126" s="111">
        <f t="shared" si="0"/>
        <v>125</v>
      </c>
      <c r="B126" s="112" t="s">
        <v>306</v>
      </c>
      <c r="C126" s="113" t="s">
        <v>307</v>
      </c>
      <c r="D126" s="114">
        <v>11</v>
      </c>
      <c r="E126" s="114" t="s">
        <v>301</v>
      </c>
      <c r="F126" s="115">
        <v>46092</v>
      </c>
      <c r="G126" s="115">
        <v>46104</v>
      </c>
      <c r="H126" s="43">
        <v>46076</v>
      </c>
      <c r="I126" s="104"/>
      <c r="J126" s="105"/>
      <c r="K126" s="105"/>
      <c r="L126" s="105"/>
      <c r="M126" s="105"/>
      <c r="N126" s="106"/>
      <c r="O126" s="122" t="s">
        <v>308</v>
      </c>
    </row>
    <row r="127" spans="1:15" s="107" customFormat="1">
      <c r="A127" s="111">
        <f>IF(C127="","",ROW()-1)</f>
        <v>126</v>
      </c>
      <c r="B127" s="112" t="s">
        <v>309</v>
      </c>
      <c r="C127" s="113" t="s">
        <v>310</v>
      </c>
      <c r="D127" s="114">
        <v>11</v>
      </c>
      <c r="E127" s="114" t="s">
        <v>301</v>
      </c>
      <c r="F127" s="115">
        <v>46105</v>
      </c>
      <c r="G127" s="115">
        <v>46122</v>
      </c>
      <c r="H127" s="43">
        <v>46076</v>
      </c>
      <c r="I127" s="104"/>
      <c r="J127" s="105"/>
      <c r="K127" s="105"/>
      <c r="L127" s="105"/>
      <c r="M127" s="105"/>
      <c r="N127" s="106"/>
      <c r="O127" s="122" t="s">
        <v>311</v>
      </c>
    </row>
    <row r="128" spans="1:15" s="107" customFormat="1">
      <c r="A128" s="111">
        <f>IF(C128="","",ROW()-1)</f>
        <v>127</v>
      </c>
      <c r="B128" s="112" t="s">
        <v>312</v>
      </c>
      <c r="C128" s="113" t="s">
        <v>313</v>
      </c>
      <c r="D128" s="114">
        <v>11</v>
      </c>
      <c r="E128" s="114" t="s">
        <v>301</v>
      </c>
      <c r="F128" s="115">
        <v>46125</v>
      </c>
      <c r="G128" s="115">
        <v>46134</v>
      </c>
      <c r="H128" s="43">
        <v>46076</v>
      </c>
      <c r="I128" s="104"/>
      <c r="J128" s="105"/>
      <c r="K128" s="105"/>
      <c r="L128" s="105"/>
      <c r="M128" s="105"/>
      <c r="N128" s="106"/>
      <c r="O128" s="122" t="s">
        <v>314</v>
      </c>
    </row>
    <row r="129" spans="1:15" s="107" customFormat="1">
      <c r="A129" s="111">
        <f t="shared" si="0"/>
        <v>128</v>
      </c>
      <c r="B129" s="112" t="s">
        <v>315</v>
      </c>
      <c r="C129" s="113" t="s">
        <v>316</v>
      </c>
      <c r="D129" s="114">
        <v>11</v>
      </c>
      <c r="E129" s="114" t="s">
        <v>317</v>
      </c>
      <c r="F129" s="115">
        <v>46107</v>
      </c>
      <c r="G129" s="115">
        <v>46122</v>
      </c>
      <c r="H129" s="43">
        <v>46076</v>
      </c>
      <c r="I129" s="104"/>
      <c r="J129" s="105"/>
      <c r="K129" s="105"/>
      <c r="L129" s="105"/>
      <c r="M129" s="105"/>
      <c r="N129" s="106"/>
      <c r="O129" s="122" t="s">
        <v>318</v>
      </c>
    </row>
    <row r="130" spans="1:15" s="107" customFormat="1">
      <c r="A130" s="111">
        <f t="shared" si="0"/>
        <v>129</v>
      </c>
      <c r="B130" s="112" t="s">
        <v>319</v>
      </c>
      <c r="C130" s="113" t="s">
        <v>320</v>
      </c>
      <c r="D130" s="114">
        <v>11</v>
      </c>
      <c r="E130" s="114" t="s">
        <v>301</v>
      </c>
      <c r="F130" s="115">
        <v>46135</v>
      </c>
      <c r="G130" s="115">
        <v>46149</v>
      </c>
      <c r="H130" s="43">
        <v>46076</v>
      </c>
      <c r="I130" s="104"/>
      <c r="J130" s="105"/>
      <c r="K130" s="105"/>
      <c r="L130" s="105"/>
      <c r="M130" s="105"/>
      <c r="N130" s="106"/>
      <c r="O130" s="122"/>
    </row>
    <row r="131" spans="1:15" s="107" customFormat="1">
      <c r="A131" s="111">
        <f t="shared" si="0"/>
        <v>130</v>
      </c>
      <c r="B131" s="112" t="s">
        <v>321</v>
      </c>
      <c r="C131" s="113" t="s">
        <v>322</v>
      </c>
      <c r="D131" s="114">
        <v>11</v>
      </c>
      <c r="E131" s="114" t="s">
        <v>301</v>
      </c>
      <c r="F131" s="115">
        <v>46150</v>
      </c>
      <c r="G131" s="115">
        <v>46156</v>
      </c>
      <c r="H131" s="43">
        <v>46076</v>
      </c>
      <c r="I131" s="104"/>
      <c r="J131" s="105"/>
      <c r="K131" s="105"/>
      <c r="L131" s="105"/>
      <c r="M131" s="105"/>
      <c r="N131" s="106"/>
      <c r="O131" s="122"/>
    </row>
    <row r="132" spans="1:15" s="107" customFormat="1">
      <c r="A132" s="111">
        <f t="shared" si="0"/>
        <v>131</v>
      </c>
      <c r="B132" s="112" t="s">
        <v>323</v>
      </c>
      <c r="C132" s="113" t="s">
        <v>324</v>
      </c>
      <c r="D132" s="114">
        <v>11</v>
      </c>
      <c r="E132" s="114" t="s">
        <v>301</v>
      </c>
      <c r="F132" s="115">
        <v>46157</v>
      </c>
      <c r="G132" s="115">
        <v>46163</v>
      </c>
      <c r="H132" s="43">
        <v>46076</v>
      </c>
      <c r="I132" s="104"/>
      <c r="J132" s="105"/>
      <c r="K132" s="105"/>
      <c r="L132" s="105"/>
      <c r="M132" s="105"/>
      <c r="N132" s="106"/>
      <c r="O132" s="122" t="s">
        <v>325</v>
      </c>
    </row>
    <row r="133" spans="1:15" s="107" customFormat="1">
      <c r="A133" s="111">
        <f>IF(C133="","",ROW()-1)</f>
        <v>132</v>
      </c>
      <c r="B133" s="112" t="s">
        <v>326</v>
      </c>
      <c r="C133" s="113" t="s">
        <v>327</v>
      </c>
      <c r="D133" s="114">
        <v>11</v>
      </c>
      <c r="E133" s="114" t="s">
        <v>301</v>
      </c>
      <c r="F133" s="115">
        <v>46164</v>
      </c>
      <c r="G133" s="115">
        <v>46170</v>
      </c>
      <c r="H133" s="43">
        <v>46076</v>
      </c>
      <c r="I133" s="104"/>
      <c r="J133" s="105"/>
      <c r="K133" s="105"/>
      <c r="L133" s="105"/>
      <c r="M133" s="105"/>
      <c r="N133" s="106"/>
      <c r="O133" s="122" t="s">
        <v>325</v>
      </c>
    </row>
    <row r="134" spans="1:15" s="107" customFormat="1" ht="46.9">
      <c r="A134" s="111">
        <f t="shared" si="0"/>
        <v>133</v>
      </c>
      <c r="B134" s="112" t="s">
        <v>328</v>
      </c>
      <c r="C134" s="113" t="s">
        <v>329</v>
      </c>
      <c r="D134" s="114">
        <v>11</v>
      </c>
      <c r="E134" s="114" t="s">
        <v>317</v>
      </c>
      <c r="F134" s="115">
        <v>46123</v>
      </c>
      <c r="G134" s="115">
        <v>46141</v>
      </c>
      <c r="H134" s="43">
        <v>46076</v>
      </c>
      <c r="I134" s="104"/>
      <c r="J134" s="105"/>
      <c r="K134" s="105"/>
      <c r="L134" s="105"/>
      <c r="M134" s="105"/>
      <c r="N134" s="106"/>
      <c r="O134" s="123" t="s">
        <v>330</v>
      </c>
    </row>
    <row r="135" spans="1:15">
      <c r="A135" s="10">
        <f t="shared" si="0"/>
        <v>134</v>
      </c>
      <c r="B135" s="82" t="s">
        <v>331</v>
      </c>
      <c r="C135" s="108" t="s">
        <v>332</v>
      </c>
      <c r="D135" s="109">
        <v>11</v>
      </c>
      <c r="E135" s="109" t="s">
        <v>333</v>
      </c>
      <c r="F135" s="110">
        <v>46167</v>
      </c>
      <c r="G135" s="110">
        <v>46185</v>
      </c>
      <c r="H135" s="124">
        <v>46188</v>
      </c>
      <c r="I135" s="125">
        <v>46203</v>
      </c>
      <c r="J135" s="56"/>
      <c r="K135" s="56"/>
      <c r="L135" s="56"/>
      <c r="M135" s="56"/>
      <c r="N135" s="22"/>
      <c r="O135" s="61"/>
    </row>
    <row r="136" spans="1:15" ht="31.15">
      <c r="A136" s="10">
        <f t="shared" si="0"/>
        <v>135</v>
      </c>
      <c r="B136" s="82" t="s">
        <v>334</v>
      </c>
      <c r="C136" s="86" t="s">
        <v>335</v>
      </c>
      <c r="D136" s="87">
        <v>11</v>
      </c>
      <c r="E136" s="87" t="s">
        <v>317</v>
      </c>
      <c r="F136" s="88">
        <v>46142</v>
      </c>
      <c r="G136" s="88">
        <v>46157</v>
      </c>
      <c r="H136" s="43">
        <v>46076</v>
      </c>
      <c r="I136" s="15"/>
      <c r="J136" s="56"/>
      <c r="K136" s="56"/>
      <c r="L136" s="56"/>
      <c r="M136" s="56"/>
      <c r="N136" s="22"/>
      <c r="O136" s="74" t="s">
        <v>336</v>
      </c>
    </row>
    <row r="137" spans="1:15" ht="31.15">
      <c r="A137" s="10">
        <f t="shared" si="0"/>
        <v>136</v>
      </c>
      <c r="B137" s="82" t="s">
        <v>337</v>
      </c>
      <c r="C137" s="86" t="s">
        <v>338</v>
      </c>
      <c r="D137" s="87">
        <v>11</v>
      </c>
      <c r="E137" s="87" t="s">
        <v>317</v>
      </c>
      <c r="F137" s="88">
        <v>46158</v>
      </c>
      <c r="G137" s="88">
        <v>46170</v>
      </c>
      <c r="H137" s="43">
        <v>46076</v>
      </c>
      <c r="I137" s="15"/>
      <c r="J137" s="56"/>
      <c r="K137" s="56"/>
      <c r="L137" s="56"/>
      <c r="M137" s="56"/>
      <c r="N137" s="22"/>
      <c r="O137" s="74" t="s">
        <v>339</v>
      </c>
    </row>
    <row r="138" spans="1:15" s="40" customFormat="1">
      <c r="A138" s="37">
        <f t="shared" si="0"/>
        <v>137</v>
      </c>
      <c r="B138" s="69">
        <v>4.5</v>
      </c>
      <c r="C138" s="83" t="s">
        <v>340</v>
      </c>
      <c r="D138" s="84">
        <v>45</v>
      </c>
      <c r="E138" s="84" t="s">
        <v>264</v>
      </c>
      <c r="F138" s="85">
        <v>46092</v>
      </c>
      <c r="G138" s="85">
        <v>46225</v>
      </c>
      <c r="H138" s="43"/>
      <c r="I138" s="43"/>
      <c r="J138" s="64"/>
      <c r="K138" s="64"/>
      <c r="L138" s="64"/>
      <c r="M138" s="64"/>
      <c r="N138" s="39"/>
      <c r="O138" s="76" t="s">
        <v>341</v>
      </c>
    </row>
    <row r="139" spans="1:15">
      <c r="A139" s="54">
        <f t="shared" si="0"/>
        <v>138</v>
      </c>
      <c r="B139" s="82" t="s">
        <v>342</v>
      </c>
      <c r="C139" s="86" t="s">
        <v>300</v>
      </c>
      <c r="D139" s="87">
        <v>5</v>
      </c>
      <c r="E139" s="87" t="s">
        <v>343</v>
      </c>
      <c r="F139" s="88">
        <v>46107</v>
      </c>
      <c r="G139" s="88">
        <v>46113</v>
      </c>
      <c r="H139" s="15"/>
      <c r="I139" s="15"/>
      <c r="J139" s="56"/>
      <c r="K139" s="56"/>
      <c r="L139" s="56"/>
      <c r="M139" s="56"/>
      <c r="N139" s="22"/>
      <c r="O139" s="61"/>
    </row>
    <row r="140" spans="1:15">
      <c r="A140" s="54">
        <f>IF(C140="","",ROW()-1)</f>
        <v>139</v>
      </c>
      <c r="B140" s="82" t="s">
        <v>344</v>
      </c>
      <c r="C140" s="86" t="s">
        <v>345</v>
      </c>
      <c r="D140" s="87">
        <v>5</v>
      </c>
      <c r="E140" s="87" t="s">
        <v>343</v>
      </c>
      <c r="F140" s="88">
        <v>46119</v>
      </c>
      <c r="G140" s="88">
        <v>46125</v>
      </c>
      <c r="H140" s="15"/>
      <c r="I140" s="15"/>
      <c r="J140" s="56"/>
      <c r="K140" s="56"/>
      <c r="L140" s="56"/>
      <c r="M140" s="56"/>
      <c r="N140" s="22"/>
      <c r="O140" s="61"/>
    </row>
    <row r="141" spans="1:15">
      <c r="A141" s="54">
        <f t="shared" si="0"/>
        <v>140</v>
      </c>
      <c r="B141" s="82" t="s">
        <v>346</v>
      </c>
      <c r="C141" s="86" t="s">
        <v>307</v>
      </c>
      <c r="D141" s="87">
        <v>5</v>
      </c>
      <c r="E141" s="87" t="s">
        <v>343</v>
      </c>
      <c r="F141" s="88">
        <v>46132</v>
      </c>
      <c r="G141" s="88">
        <v>46136</v>
      </c>
      <c r="H141" s="15"/>
      <c r="I141" s="15"/>
      <c r="J141" s="56"/>
      <c r="K141" s="56"/>
      <c r="L141" s="56"/>
      <c r="M141" s="56"/>
      <c r="N141" s="22"/>
      <c r="O141" s="61"/>
    </row>
    <row r="142" spans="1:15">
      <c r="A142" s="54">
        <f t="shared" si="0"/>
        <v>141</v>
      </c>
      <c r="B142" s="82" t="s">
        <v>347</v>
      </c>
      <c r="C142" s="86" t="s">
        <v>310</v>
      </c>
      <c r="D142" s="87">
        <v>5</v>
      </c>
      <c r="E142" s="87" t="s">
        <v>343</v>
      </c>
      <c r="F142" s="88">
        <v>46150</v>
      </c>
      <c r="G142" s="88">
        <v>46156</v>
      </c>
      <c r="H142" s="15"/>
      <c r="I142" s="15"/>
      <c r="J142" s="56"/>
      <c r="K142" s="56"/>
      <c r="L142" s="56"/>
      <c r="M142" s="56"/>
      <c r="N142" s="22"/>
      <c r="O142" s="61"/>
    </row>
    <row r="143" spans="1:15">
      <c r="A143" s="54">
        <f>IF(C143="","",ROW()-1)</f>
        <v>142</v>
      </c>
      <c r="B143" s="82" t="s">
        <v>348</v>
      </c>
      <c r="C143" s="86" t="s">
        <v>313</v>
      </c>
      <c r="D143" s="87">
        <v>5</v>
      </c>
      <c r="E143" s="87" t="s">
        <v>343</v>
      </c>
      <c r="F143" s="88">
        <v>46162</v>
      </c>
      <c r="G143" s="88">
        <v>46168</v>
      </c>
      <c r="H143" s="15"/>
      <c r="I143" s="15"/>
      <c r="J143" s="56"/>
      <c r="K143" s="56"/>
      <c r="L143" s="56"/>
      <c r="M143" s="56"/>
      <c r="N143" s="22"/>
      <c r="O143" s="61"/>
    </row>
    <row r="144" spans="1:15">
      <c r="A144" s="54">
        <f t="shared" si="0"/>
        <v>143</v>
      </c>
      <c r="B144" s="82" t="s">
        <v>349</v>
      </c>
      <c r="C144" s="86" t="s">
        <v>316</v>
      </c>
      <c r="D144" s="87">
        <v>5</v>
      </c>
      <c r="E144" s="87" t="s">
        <v>343</v>
      </c>
      <c r="F144" s="88">
        <v>46150</v>
      </c>
      <c r="G144" s="88">
        <v>46156</v>
      </c>
      <c r="H144" s="15"/>
      <c r="I144" s="15"/>
      <c r="J144" s="56"/>
      <c r="K144" s="56"/>
      <c r="L144" s="56"/>
      <c r="M144" s="56"/>
      <c r="N144" s="22"/>
      <c r="O144" s="61"/>
    </row>
    <row r="145" spans="1:15">
      <c r="A145" s="54">
        <f t="shared" si="0"/>
        <v>144</v>
      </c>
      <c r="B145" s="82" t="s">
        <v>350</v>
      </c>
      <c r="C145" s="86" t="s">
        <v>320</v>
      </c>
      <c r="D145" s="87">
        <v>5</v>
      </c>
      <c r="E145" s="87" t="s">
        <v>343</v>
      </c>
      <c r="F145" s="88">
        <v>46176</v>
      </c>
      <c r="G145" s="88">
        <v>46182</v>
      </c>
      <c r="H145" s="15"/>
      <c r="I145" s="15"/>
      <c r="J145" s="56"/>
      <c r="K145" s="56"/>
      <c r="L145" s="56"/>
      <c r="M145" s="56"/>
      <c r="N145" s="22"/>
      <c r="O145" s="61"/>
    </row>
    <row r="146" spans="1:15">
      <c r="A146" s="54">
        <f>IF(C146="","",ROW()-1)</f>
        <v>145</v>
      </c>
      <c r="B146" s="82" t="s">
        <v>351</v>
      </c>
      <c r="C146" s="86" t="s">
        <v>322</v>
      </c>
      <c r="D146" s="87">
        <v>5</v>
      </c>
      <c r="E146" s="87" t="s">
        <v>343</v>
      </c>
      <c r="F146" s="88">
        <v>46183</v>
      </c>
      <c r="G146" s="88">
        <v>46189</v>
      </c>
      <c r="H146" s="15"/>
      <c r="I146" s="15"/>
      <c r="J146" s="56"/>
      <c r="K146" s="56"/>
      <c r="L146" s="56"/>
      <c r="M146" s="56"/>
      <c r="N146" s="22"/>
      <c r="O146" s="61"/>
    </row>
    <row r="147" spans="1:15">
      <c r="A147" s="54">
        <f>IF(C147="","",ROW()-1)</f>
        <v>146</v>
      </c>
      <c r="B147" s="82" t="s">
        <v>352</v>
      </c>
      <c r="C147" s="86" t="s">
        <v>324</v>
      </c>
      <c r="D147" s="87">
        <v>5</v>
      </c>
      <c r="E147" s="87" t="s">
        <v>343</v>
      </c>
      <c r="F147" s="88">
        <v>46190</v>
      </c>
      <c r="G147" s="88">
        <v>46197</v>
      </c>
      <c r="H147" s="15"/>
      <c r="I147" s="15"/>
      <c r="J147" s="56"/>
      <c r="K147" s="56"/>
      <c r="L147" s="56"/>
      <c r="M147" s="56"/>
      <c r="N147" s="22"/>
      <c r="O147" s="61"/>
    </row>
    <row r="148" spans="1:15">
      <c r="A148" s="54">
        <f>IF(C148="","",ROW()-1)</f>
        <v>147</v>
      </c>
      <c r="B148" s="82" t="s">
        <v>353</v>
      </c>
      <c r="C148" s="86" t="s">
        <v>327</v>
      </c>
      <c r="D148" s="87">
        <v>5</v>
      </c>
      <c r="E148" s="87" t="s">
        <v>343</v>
      </c>
      <c r="F148" s="88">
        <v>46198</v>
      </c>
      <c r="G148" s="88">
        <v>46204</v>
      </c>
      <c r="H148" s="15"/>
      <c r="I148" s="15"/>
      <c r="J148" s="56"/>
      <c r="K148" s="56"/>
      <c r="L148" s="56"/>
      <c r="M148" s="56"/>
      <c r="N148" s="22"/>
      <c r="O148" s="61"/>
    </row>
    <row r="149" spans="1:15">
      <c r="A149" s="54">
        <f t="shared" si="0"/>
        <v>148</v>
      </c>
      <c r="B149" s="82" t="s">
        <v>354</v>
      </c>
      <c r="C149" s="86" t="s">
        <v>329</v>
      </c>
      <c r="D149" s="87">
        <v>5</v>
      </c>
      <c r="E149" s="87" t="s">
        <v>343</v>
      </c>
      <c r="F149" s="88">
        <v>46162</v>
      </c>
      <c r="G149" s="88">
        <v>46168</v>
      </c>
      <c r="H149" s="15"/>
      <c r="I149" s="15"/>
      <c r="J149" s="56"/>
      <c r="K149" s="56"/>
      <c r="L149" s="56"/>
      <c r="M149" s="56"/>
      <c r="N149" s="22"/>
      <c r="O149" s="61"/>
    </row>
    <row r="150" spans="1:15">
      <c r="A150" s="54">
        <f t="shared" si="0"/>
        <v>149</v>
      </c>
      <c r="B150" s="82" t="s">
        <v>355</v>
      </c>
      <c r="C150" s="86" t="s">
        <v>332</v>
      </c>
      <c r="D150" s="87">
        <v>5</v>
      </c>
      <c r="E150" s="87" t="s">
        <v>343</v>
      </c>
      <c r="F150" s="88">
        <v>46184</v>
      </c>
      <c r="G150" s="88">
        <v>46190</v>
      </c>
      <c r="H150" s="15"/>
      <c r="I150" s="15"/>
      <c r="J150" s="56"/>
      <c r="K150" s="56"/>
      <c r="L150" s="56"/>
      <c r="M150" s="56"/>
      <c r="N150" s="22"/>
      <c r="O150" s="61"/>
    </row>
    <row r="151" spans="1:15">
      <c r="A151" s="77">
        <f>IF(C151="","",ROW()-1)</f>
        <v>150</v>
      </c>
      <c r="B151" s="82" t="s">
        <v>356</v>
      </c>
      <c r="C151" s="86" t="s">
        <v>335</v>
      </c>
      <c r="D151" s="87">
        <v>5</v>
      </c>
      <c r="E151" s="87" t="s">
        <v>343</v>
      </c>
      <c r="F151" s="13">
        <v>46177</v>
      </c>
      <c r="G151" s="13">
        <v>46183</v>
      </c>
      <c r="H151" s="15"/>
      <c r="I151" s="15"/>
      <c r="J151" s="56"/>
      <c r="K151" s="56"/>
      <c r="L151" s="56"/>
      <c r="M151" s="56"/>
      <c r="N151" s="22"/>
      <c r="O151" s="61"/>
    </row>
    <row r="152" spans="1:15">
      <c r="A152" s="54">
        <f t="shared" si="0"/>
        <v>151</v>
      </c>
      <c r="B152" s="82" t="s">
        <v>357</v>
      </c>
      <c r="C152" s="86" t="s">
        <v>338</v>
      </c>
      <c r="D152" s="87">
        <v>5</v>
      </c>
      <c r="E152" s="87" t="s">
        <v>343</v>
      </c>
      <c r="F152" s="88">
        <v>46190</v>
      </c>
      <c r="G152" s="88">
        <v>46197</v>
      </c>
      <c r="H152" s="15"/>
      <c r="I152" s="15"/>
      <c r="J152" s="56"/>
      <c r="K152" s="56"/>
      <c r="L152" s="56"/>
      <c r="M152" s="56"/>
      <c r="N152" s="22"/>
      <c r="O152" s="61"/>
    </row>
    <row r="153" spans="1:15">
      <c r="A153" s="54">
        <f t="shared" si="0"/>
        <v>152</v>
      </c>
      <c r="B153" s="82" t="s">
        <v>358</v>
      </c>
      <c r="C153" s="86" t="s">
        <v>359</v>
      </c>
      <c r="D153" s="87">
        <v>10</v>
      </c>
      <c r="E153" s="87" t="s">
        <v>360</v>
      </c>
      <c r="F153" s="88">
        <v>46107</v>
      </c>
      <c r="G153" s="88">
        <v>46203</v>
      </c>
      <c r="H153" s="15"/>
      <c r="I153" s="15"/>
      <c r="J153" s="56"/>
      <c r="K153" s="56"/>
      <c r="L153" s="56"/>
      <c r="M153" s="56"/>
      <c r="N153" s="22"/>
      <c r="O153" s="61"/>
    </row>
    <row r="154" spans="1:15">
      <c r="A154" s="77">
        <f t="shared" si="0"/>
        <v>153</v>
      </c>
      <c r="B154" s="82" t="s">
        <v>361</v>
      </c>
      <c r="C154" s="18" t="s">
        <v>362</v>
      </c>
      <c r="D154" s="1">
        <v>5</v>
      </c>
      <c r="E154" s="87" t="s">
        <v>343</v>
      </c>
      <c r="F154" s="88">
        <v>46119</v>
      </c>
      <c r="G154" s="88">
        <v>46209</v>
      </c>
      <c r="H154" s="15"/>
      <c r="I154" s="15"/>
      <c r="J154" s="56"/>
      <c r="K154" s="56"/>
      <c r="L154" s="56"/>
      <c r="M154" s="56"/>
      <c r="N154" s="22"/>
      <c r="O154" s="61"/>
    </row>
    <row r="155" spans="1:15">
      <c r="A155" s="77">
        <f t="shared" si="0"/>
        <v>154</v>
      </c>
      <c r="B155" s="82" t="s">
        <v>363</v>
      </c>
      <c r="C155" s="18" t="s">
        <v>364</v>
      </c>
      <c r="D155" s="1"/>
      <c r="E155" s="1"/>
      <c r="F155" s="13">
        <v>46249</v>
      </c>
      <c r="G155" s="13">
        <v>46249</v>
      </c>
      <c r="H155" s="15"/>
      <c r="I155" s="15"/>
      <c r="J155" s="56"/>
      <c r="K155" s="56"/>
      <c r="L155" s="56"/>
      <c r="M155" s="56"/>
      <c r="N155" s="22"/>
      <c r="O155" s="61"/>
    </row>
    <row r="156" spans="1:15">
      <c r="A156" s="77">
        <f t="shared" si="0"/>
        <v>155</v>
      </c>
      <c r="B156" s="82">
        <v>5</v>
      </c>
      <c r="C156" s="18" t="s">
        <v>365</v>
      </c>
      <c r="D156" s="1"/>
      <c r="E156" s="1"/>
      <c r="F156" s="13"/>
      <c r="G156" s="13"/>
      <c r="H156" s="15"/>
      <c r="I156" s="15"/>
      <c r="J156" s="56"/>
      <c r="K156" s="56"/>
      <c r="L156" s="56"/>
      <c r="M156" s="56"/>
      <c r="N156" s="22"/>
      <c r="O156" s="61"/>
    </row>
    <row r="157" spans="1:15">
      <c r="A157" s="77">
        <f t="shared" si="0"/>
        <v>156</v>
      </c>
      <c r="B157" s="82">
        <v>5.0999999999999996</v>
      </c>
      <c r="C157" s="18" t="s">
        <v>366</v>
      </c>
      <c r="D157" s="1">
        <v>2</v>
      </c>
      <c r="E157" s="126" t="s">
        <v>41</v>
      </c>
      <c r="F157" s="13">
        <v>46223</v>
      </c>
      <c r="G157" s="13">
        <v>46226</v>
      </c>
      <c r="H157" s="15">
        <v>46223</v>
      </c>
      <c r="I157" s="13">
        <v>46226</v>
      </c>
      <c r="J157" s="56"/>
      <c r="K157" s="56"/>
      <c r="L157" s="56"/>
      <c r="M157" s="56"/>
      <c r="N157" s="22"/>
      <c r="O157" s="61"/>
    </row>
    <row r="158" spans="1:15">
      <c r="A158" s="77">
        <f t="shared" si="0"/>
        <v>157</v>
      </c>
      <c r="B158" s="82">
        <v>5.2</v>
      </c>
      <c r="C158" s="18" t="s">
        <v>367</v>
      </c>
      <c r="D158" s="1">
        <v>1</v>
      </c>
      <c r="E158" s="126" t="s">
        <v>144</v>
      </c>
      <c r="F158" s="13">
        <v>46227</v>
      </c>
      <c r="G158" s="13">
        <v>46248</v>
      </c>
      <c r="H158" s="15">
        <v>46227</v>
      </c>
      <c r="I158" s="15">
        <v>46227</v>
      </c>
      <c r="J158" s="56"/>
      <c r="K158" s="56"/>
      <c r="L158" s="56"/>
      <c r="M158" s="56"/>
      <c r="N158" s="22"/>
      <c r="O158" s="61" t="s">
        <v>368</v>
      </c>
    </row>
    <row r="159" spans="1:15" ht="66.75">
      <c r="A159" s="77">
        <f t="shared" si="0"/>
        <v>158</v>
      </c>
      <c r="B159" s="82">
        <v>5.3</v>
      </c>
      <c r="C159" s="18" t="s">
        <v>369</v>
      </c>
      <c r="D159" s="1">
        <v>4</v>
      </c>
      <c r="E159" s="126" t="s">
        <v>370</v>
      </c>
      <c r="F159" s="13">
        <v>46227</v>
      </c>
      <c r="G159" s="13">
        <v>46248</v>
      </c>
      <c r="H159" s="15">
        <v>46244</v>
      </c>
      <c r="I159" s="15">
        <v>46247</v>
      </c>
      <c r="J159" s="56"/>
      <c r="K159" s="56"/>
      <c r="L159" s="56"/>
      <c r="M159" s="56"/>
      <c r="N159" s="22"/>
      <c r="O159" s="74" t="s">
        <v>371</v>
      </c>
    </row>
    <row r="160" spans="1:15" ht="66.75">
      <c r="A160" s="77">
        <f>IF(C160="","",ROW()-1)</f>
        <v>159</v>
      </c>
      <c r="B160" s="82">
        <v>5.4</v>
      </c>
      <c r="C160" s="18" t="s">
        <v>372</v>
      </c>
      <c r="D160" s="1">
        <v>2</v>
      </c>
      <c r="E160" s="126" t="s">
        <v>144</v>
      </c>
      <c r="F160" s="13">
        <v>46227</v>
      </c>
      <c r="G160" s="13">
        <v>46248</v>
      </c>
      <c r="H160" s="15">
        <v>46248</v>
      </c>
      <c r="I160" s="15">
        <v>46255</v>
      </c>
      <c r="J160" s="56"/>
      <c r="K160" s="56"/>
      <c r="L160" s="56"/>
      <c r="M160" s="56"/>
      <c r="N160" s="22"/>
      <c r="O160" s="74" t="s">
        <v>373</v>
      </c>
    </row>
    <row r="161" spans="1:15" ht="50.25">
      <c r="A161" s="77">
        <f t="shared" si="0"/>
        <v>160</v>
      </c>
      <c r="B161" s="82">
        <v>5.5</v>
      </c>
      <c r="C161" s="18" t="s">
        <v>374</v>
      </c>
      <c r="D161" s="1">
        <v>1</v>
      </c>
      <c r="E161" s="126" t="s">
        <v>370</v>
      </c>
      <c r="F161" s="13">
        <v>46249</v>
      </c>
      <c r="G161" s="13">
        <v>46265</v>
      </c>
      <c r="H161" s="15">
        <v>46252</v>
      </c>
      <c r="I161" s="15">
        <v>46255</v>
      </c>
      <c r="J161" s="56"/>
      <c r="K161" s="56"/>
      <c r="L161" s="56"/>
      <c r="M161" s="56"/>
      <c r="N161" s="22"/>
      <c r="O161" s="74" t="s">
        <v>375</v>
      </c>
    </row>
    <row r="162" spans="1:15">
      <c r="A162" s="77">
        <f t="shared" si="0"/>
        <v>161</v>
      </c>
      <c r="B162" s="82">
        <v>5.6</v>
      </c>
      <c r="C162" s="18" t="s">
        <v>376</v>
      </c>
      <c r="D162" s="1">
        <v>2</v>
      </c>
      <c r="E162" s="126" t="s">
        <v>41</v>
      </c>
      <c r="F162" s="13">
        <v>46223</v>
      </c>
      <c r="G162" s="13">
        <v>46226</v>
      </c>
      <c r="H162" s="15">
        <v>46223</v>
      </c>
      <c r="I162" s="13">
        <v>46226</v>
      </c>
      <c r="J162" s="56"/>
      <c r="K162" s="56"/>
      <c r="L162" s="56"/>
      <c r="M162" s="56"/>
      <c r="N162" s="22"/>
      <c r="O162" s="61"/>
    </row>
    <row r="163" spans="1:15" ht="31.15">
      <c r="A163" s="77">
        <f t="shared" si="0"/>
        <v>162</v>
      </c>
      <c r="B163" s="82">
        <v>5.7</v>
      </c>
      <c r="C163" s="18" t="s">
        <v>377</v>
      </c>
      <c r="D163" s="1">
        <v>1</v>
      </c>
      <c r="E163" s="126" t="s">
        <v>378</v>
      </c>
      <c r="F163" s="13">
        <v>46227</v>
      </c>
      <c r="G163" s="13">
        <v>46248</v>
      </c>
      <c r="H163" s="15">
        <v>46237</v>
      </c>
      <c r="I163" s="15">
        <v>46238</v>
      </c>
      <c r="J163" s="56"/>
      <c r="K163" s="56"/>
      <c r="L163" s="56"/>
      <c r="M163" s="56"/>
      <c r="N163" s="22"/>
      <c r="O163" s="74" t="s">
        <v>379</v>
      </c>
    </row>
    <row r="164" spans="1:15" ht="66.75">
      <c r="A164" s="77">
        <f t="shared" si="0"/>
        <v>163</v>
      </c>
      <c r="B164" s="82">
        <v>5.8</v>
      </c>
      <c r="C164" s="18" t="s">
        <v>380</v>
      </c>
      <c r="D164" s="1">
        <v>3</v>
      </c>
      <c r="E164" s="126" t="s">
        <v>370</v>
      </c>
      <c r="F164" s="13">
        <v>46227</v>
      </c>
      <c r="G164" s="13">
        <v>46248</v>
      </c>
      <c r="H164" s="15">
        <v>46241</v>
      </c>
      <c r="I164" s="15">
        <v>46268</v>
      </c>
      <c r="J164" s="56"/>
      <c r="K164" s="56"/>
      <c r="L164" s="56"/>
      <c r="M164" s="56"/>
      <c r="N164" s="22"/>
      <c r="O164" s="137" t="s">
        <v>381</v>
      </c>
    </row>
    <row r="165" spans="1:15" ht="33.75">
      <c r="A165" s="77">
        <f t="shared" si="0"/>
        <v>164</v>
      </c>
      <c r="B165" s="82">
        <v>5.9</v>
      </c>
      <c r="C165" s="18" t="s">
        <v>382</v>
      </c>
      <c r="D165" s="1">
        <v>2</v>
      </c>
      <c r="E165" s="126" t="s">
        <v>378</v>
      </c>
      <c r="F165" s="13">
        <v>46227</v>
      </c>
      <c r="G165" s="13">
        <v>46248</v>
      </c>
      <c r="H165" s="15">
        <v>46246</v>
      </c>
      <c r="I165" s="15">
        <v>46269</v>
      </c>
      <c r="J165" s="56"/>
      <c r="K165" s="56"/>
      <c r="L165" s="56"/>
      <c r="M165" s="56"/>
      <c r="N165" s="22"/>
      <c r="O165" s="74" t="s">
        <v>383</v>
      </c>
    </row>
    <row r="166" spans="1:15">
      <c r="A166" s="77">
        <f t="shared" si="0"/>
        <v>165</v>
      </c>
      <c r="B166" s="82" t="s">
        <v>384</v>
      </c>
      <c r="C166" s="18" t="s">
        <v>385</v>
      </c>
      <c r="D166" s="1">
        <v>1</v>
      </c>
      <c r="E166" s="126" t="s">
        <v>370</v>
      </c>
      <c r="F166" s="13">
        <v>46251</v>
      </c>
      <c r="G166" s="13">
        <v>46253</v>
      </c>
      <c r="H166" s="15">
        <v>46269</v>
      </c>
      <c r="I166" s="15">
        <v>46269</v>
      </c>
      <c r="J166" s="56"/>
      <c r="K166" s="56"/>
      <c r="L166" s="56"/>
      <c r="M166" s="56"/>
      <c r="N166" s="22"/>
      <c r="O166" s="61" t="s">
        <v>386</v>
      </c>
    </row>
    <row r="167" spans="1:15" ht="33.75">
      <c r="A167" s="77">
        <f t="shared" si="0"/>
        <v>166</v>
      </c>
      <c r="B167" s="82">
        <v>5.1100000000000003</v>
      </c>
      <c r="C167" s="18" t="s">
        <v>387</v>
      </c>
      <c r="D167" s="1">
        <v>1</v>
      </c>
      <c r="E167" s="126" t="s">
        <v>388</v>
      </c>
      <c r="F167" s="13">
        <v>46230</v>
      </c>
      <c r="G167" s="13">
        <v>46239</v>
      </c>
      <c r="H167" s="13">
        <v>46248</v>
      </c>
      <c r="I167" s="15">
        <v>46251</v>
      </c>
      <c r="J167" s="56"/>
      <c r="K167" s="56"/>
      <c r="L167" s="56"/>
      <c r="M167" s="56"/>
      <c r="N167" s="22"/>
      <c r="O167" s="74" t="s">
        <v>389</v>
      </c>
    </row>
    <row r="168" spans="1:15">
      <c r="A168" s="77" t="str">
        <f t="shared" si="0"/>
        <v/>
      </c>
      <c r="B168" s="82">
        <v>5.12</v>
      </c>
      <c r="C168" s="18"/>
      <c r="D168" s="1"/>
      <c r="E168" s="126"/>
      <c r="F168" s="13"/>
      <c r="G168" s="13"/>
      <c r="H168" s="15"/>
      <c r="I168" s="15"/>
      <c r="J168" s="56"/>
      <c r="K168" s="56"/>
      <c r="L168" s="56"/>
      <c r="M168" s="56"/>
      <c r="N168" s="22"/>
      <c r="O168" s="61"/>
    </row>
    <row r="169" spans="1:15">
      <c r="A169" s="77" t="str">
        <f t="shared" si="0"/>
        <v/>
      </c>
      <c r="B169" s="82">
        <v>5.13</v>
      </c>
      <c r="C169" s="18"/>
      <c r="D169" s="1"/>
      <c r="E169" s="1"/>
      <c r="F169" s="13"/>
      <c r="G169" s="13"/>
      <c r="H169" s="15"/>
      <c r="I169" s="15"/>
      <c r="J169" s="56"/>
      <c r="K169" s="56"/>
      <c r="L169" s="56"/>
      <c r="M169" s="56"/>
      <c r="N169" s="22"/>
      <c r="O169" s="61"/>
    </row>
    <row r="170" spans="1:15">
      <c r="A170" s="77" t="str">
        <f t="shared" si="0"/>
        <v/>
      </c>
      <c r="B170" s="82">
        <v>5.14</v>
      </c>
      <c r="C170" s="18"/>
      <c r="D170" s="1"/>
      <c r="E170" s="1"/>
      <c r="F170" s="13"/>
      <c r="G170" s="13"/>
      <c r="H170" s="15"/>
      <c r="I170" s="15"/>
      <c r="J170" s="56"/>
      <c r="K170" s="56"/>
      <c r="L170" s="56"/>
      <c r="M170" s="56"/>
      <c r="N170" s="22"/>
      <c r="O170" s="61"/>
    </row>
    <row r="171" spans="1:15">
      <c r="A171" s="77" t="str">
        <f t="shared" ref="A171:A172" si="5">IF(C171="","",ROW()-1)</f>
        <v/>
      </c>
      <c r="B171" s="82">
        <v>5.15</v>
      </c>
      <c r="C171" s="18"/>
      <c r="D171" s="1"/>
      <c r="E171" s="1"/>
      <c r="F171" s="13"/>
      <c r="G171" s="13"/>
      <c r="H171" s="15"/>
      <c r="I171" s="15"/>
      <c r="J171" s="56"/>
      <c r="K171" s="56"/>
      <c r="L171" s="56"/>
      <c r="M171" s="56"/>
      <c r="N171" s="22"/>
      <c r="O171" s="61"/>
    </row>
    <row r="172" spans="1:15">
      <c r="A172" s="77" t="str">
        <f t="shared" si="5"/>
        <v/>
      </c>
      <c r="B172" s="82">
        <v>5.16</v>
      </c>
      <c r="C172" s="18"/>
      <c r="D172" s="1"/>
      <c r="E172" s="1"/>
      <c r="F172" s="13"/>
      <c r="G172" s="13"/>
      <c r="H172" s="15"/>
      <c r="I172" s="15"/>
      <c r="J172" s="56"/>
      <c r="K172" s="56"/>
      <c r="L172" s="56"/>
      <c r="M172" s="56"/>
      <c r="N172" s="22"/>
      <c r="O172" s="61"/>
    </row>
    <row r="173" spans="1:15">
      <c r="A173" s="54">
        <f t="shared" si="0"/>
        <v>172</v>
      </c>
      <c r="B173" s="70">
        <v>5</v>
      </c>
      <c r="C173" s="18" t="s">
        <v>390</v>
      </c>
      <c r="D173" s="1">
        <v>0.5</v>
      </c>
      <c r="E173" s="1" t="s">
        <v>391</v>
      </c>
      <c r="F173" s="13">
        <v>46275</v>
      </c>
      <c r="G173" s="13">
        <v>46275</v>
      </c>
      <c r="H173" s="15"/>
      <c r="I173" s="15"/>
      <c r="J173" s="56"/>
      <c r="K173" s="56"/>
      <c r="L173" s="56"/>
      <c r="M173" s="56"/>
      <c r="N173" s="22"/>
      <c r="O173" s="61"/>
    </row>
    <row r="174" spans="1:15">
      <c r="A174" s="54">
        <f t="shared" si="0"/>
        <v>173</v>
      </c>
      <c r="B174" s="70">
        <v>6</v>
      </c>
      <c r="C174" s="18" t="s">
        <v>392</v>
      </c>
      <c r="D174" s="1">
        <v>1</v>
      </c>
      <c r="E174" s="1" t="s">
        <v>393</v>
      </c>
      <c r="F174" s="13">
        <v>46285</v>
      </c>
      <c r="G174" s="13">
        <v>46285</v>
      </c>
      <c r="H174" s="15"/>
      <c r="I174" s="15"/>
      <c r="J174" s="56"/>
      <c r="K174" s="56"/>
      <c r="L174" s="56"/>
      <c r="M174" s="56"/>
      <c r="N174" s="22"/>
      <c r="O174" s="61"/>
    </row>
    <row r="175" spans="1:15">
      <c r="A175" s="54">
        <f t="shared" si="0"/>
        <v>174</v>
      </c>
      <c r="B175" s="70">
        <v>7</v>
      </c>
      <c r="C175" s="18" t="s">
        <v>394</v>
      </c>
      <c r="D175" s="1">
        <v>0.5</v>
      </c>
      <c r="E175" s="1" t="s">
        <v>41</v>
      </c>
      <c r="F175" s="13">
        <v>46310</v>
      </c>
      <c r="G175" s="13">
        <v>46310</v>
      </c>
      <c r="H175" s="15"/>
      <c r="I175" s="15"/>
      <c r="J175" s="56"/>
      <c r="K175" s="56"/>
      <c r="L175" s="56"/>
      <c r="M175" s="56"/>
      <c r="N175" s="22"/>
      <c r="O175" s="61"/>
    </row>
    <row r="176" spans="1:15">
      <c r="A176" s="37">
        <f t="shared" si="0"/>
        <v>175</v>
      </c>
      <c r="B176" s="71">
        <v>8</v>
      </c>
      <c r="C176" s="20" t="s">
        <v>395</v>
      </c>
      <c r="D176" s="1">
        <v>1</v>
      </c>
      <c r="E176" s="1" t="s">
        <v>164</v>
      </c>
      <c r="F176" s="13">
        <v>46341</v>
      </c>
      <c r="G176" s="13">
        <v>46341</v>
      </c>
      <c r="H176" s="13"/>
      <c r="I176" s="13"/>
      <c r="J176" s="56"/>
      <c r="K176" s="56"/>
      <c r="L176" s="56"/>
      <c r="M176" s="56"/>
      <c r="N176" s="22"/>
      <c r="O176" s="42"/>
    </row>
    <row r="177" spans="1:15">
      <c r="A177" s="37" t="str">
        <f t="shared" si="0"/>
        <v/>
      </c>
      <c r="B177" s="71"/>
      <c r="C177" s="18"/>
      <c r="D177" s="1"/>
      <c r="E177" s="1"/>
      <c r="F177" s="13"/>
      <c r="G177" s="13"/>
      <c r="H177" s="13"/>
      <c r="I177" s="13"/>
      <c r="J177" s="56"/>
      <c r="K177" s="56"/>
      <c r="L177" s="56"/>
      <c r="M177" s="56"/>
      <c r="N177" s="22"/>
      <c r="O177" s="42"/>
    </row>
    <row r="178" spans="1:15">
      <c r="A178" s="37" t="str">
        <f t="shared" si="0"/>
        <v/>
      </c>
      <c r="B178" s="71"/>
      <c r="C178" s="18"/>
      <c r="D178" s="1"/>
      <c r="E178" s="1"/>
      <c r="F178" s="13"/>
      <c r="G178" s="13"/>
      <c r="H178" s="15"/>
      <c r="I178" s="15"/>
      <c r="J178" s="56"/>
      <c r="K178" s="56"/>
      <c r="L178" s="56"/>
      <c r="M178" s="56"/>
      <c r="N178" s="22"/>
      <c r="O178" s="42"/>
    </row>
    <row r="179" spans="1:15">
      <c r="A179" s="37" t="str">
        <f t="shared" si="0"/>
        <v/>
      </c>
      <c r="B179" s="71"/>
      <c r="C179" s="18"/>
      <c r="D179" s="1"/>
      <c r="E179" s="1"/>
      <c r="F179" s="13"/>
      <c r="G179" s="13"/>
      <c r="H179" s="15"/>
      <c r="I179" s="15"/>
      <c r="J179" s="56"/>
      <c r="K179" s="56"/>
      <c r="L179" s="56"/>
      <c r="M179" s="56"/>
      <c r="N179" s="22"/>
      <c r="O179" s="42"/>
    </row>
    <row r="180" spans="1:15">
      <c r="A180" s="37" t="str">
        <f t="shared" si="0"/>
        <v/>
      </c>
      <c r="B180" s="72"/>
      <c r="C180" s="18"/>
      <c r="D180" s="1"/>
      <c r="E180" s="1"/>
      <c r="F180" s="13"/>
      <c r="G180" s="13"/>
      <c r="H180" s="15"/>
      <c r="I180" s="15"/>
      <c r="J180" s="56"/>
      <c r="K180" s="56"/>
      <c r="L180" s="56"/>
      <c r="M180" s="56"/>
      <c r="N180" s="22"/>
      <c r="O180" s="42"/>
    </row>
    <row r="181" spans="1:15">
      <c r="A181" s="37" t="str">
        <f t="shared" si="0"/>
        <v/>
      </c>
      <c r="B181" s="72"/>
      <c r="C181" s="18"/>
      <c r="D181" s="1"/>
      <c r="E181" s="1"/>
      <c r="F181" s="13"/>
      <c r="G181" s="13"/>
      <c r="H181" s="15"/>
      <c r="I181" s="15"/>
      <c r="J181" s="56"/>
      <c r="K181" s="56"/>
      <c r="L181" s="56"/>
      <c r="M181" s="56"/>
      <c r="N181" s="22"/>
      <c r="O181" s="42"/>
    </row>
    <row r="182" spans="1:15">
      <c r="A182" s="37" t="str">
        <f t="shared" si="0"/>
        <v/>
      </c>
      <c r="B182" s="72"/>
      <c r="C182" s="18"/>
      <c r="D182" s="1"/>
      <c r="E182" s="1"/>
      <c r="F182" s="13"/>
      <c r="G182" s="13"/>
      <c r="H182" s="15"/>
      <c r="I182" s="15"/>
      <c r="J182" s="56"/>
      <c r="K182" s="56"/>
      <c r="L182" s="56"/>
      <c r="M182" s="56"/>
      <c r="N182" s="22"/>
      <c r="O182" s="42"/>
    </row>
    <row r="183" spans="1:15" ht="16.899999999999999" thickBot="1">
      <c r="A183" s="37" t="str">
        <f t="shared" si="0"/>
        <v/>
      </c>
      <c r="B183" s="73"/>
      <c r="C183" s="19"/>
      <c r="D183" s="8"/>
      <c r="E183" s="8"/>
      <c r="F183" s="14"/>
      <c r="G183" s="14"/>
      <c r="H183" s="16"/>
      <c r="I183" s="16"/>
      <c r="J183" s="57"/>
      <c r="K183" s="57"/>
      <c r="L183" s="57"/>
      <c r="M183" s="57"/>
      <c r="N183" s="23"/>
      <c r="O183" s="66"/>
    </row>
  </sheetData>
  <protectedRanges>
    <protectedRange sqref="D176:E176 B2:B6 J106:O176 J77:N80 J81:O86 J40:N48 H41:I48 F35:G48 F49:N49 H50 P40:XFD175 J87:N105 O90:O105 J50:O76 H92:I105 D85:D175 I157 B30:B176 I162 F50:G176 H167" name="開發項目_1"/>
    <protectedRange sqref="E2:E175" name="開發項目_6_1"/>
  </protectedRanges>
  <phoneticPr fontId="1" type="noConversion"/>
  <conditionalFormatting sqref="A2:I4 H5:I91 A5:A183 H106:I177">
    <cfRule type="expression" dxfId="121" priority="37">
      <formula>AND(#REF!="",$H2&lt;&gt;"",TODAY()&gt;$H2)</formula>
    </cfRule>
  </conditionalFormatting>
  <conditionalFormatting sqref="A2:N34 A35:O35 A36:N36 A37:O38 A39:N47 C48:N48 A48:B49 C49:O49 A50:O88 A89:N89 A90:O91 A92:I105 H176:N177 A176:A183 B176 F177:G177 F178:N179 B180:B182 D180:N182 B183:N183 D176:G176 O39:O48 J92:N92 O92:O105 J93:O105 A106:O175">
    <cfRule type="expression" dxfId="120" priority="38">
      <formula>#REF!&lt;&gt;""</formula>
    </cfRule>
  </conditionalFormatting>
  <conditionalFormatting sqref="B36:G36 C38:C44 B57:I75 C76:D81 E76:I88 B76:B92 D95:I104 G158:G160 B159:B176 F177:G179 B180:B182 D180:G182 B183:G183 C159:I175">
    <cfRule type="expression" dxfId="119" priority="36">
      <formula>AND($H36="",$G36&lt;&gt;"",TODAY()&gt;$G36)</formula>
    </cfRule>
  </conditionalFormatting>
  <conditionalFormatting sqref="B35:I35 B48:B56 D176:G176 H176:I177">
    <cfRule type="expression" dxfId="118" priority="35">
      <formula>AND($H35="",$G35&lt;&gt;"",TODAY()&gt;$G35)</formula>
    </cfRule>
  </conditionalFormatting>
  <conditionalFormatting sqref="B37:I38">
    <cfRule type="expression" dxfId="117" priority="2">
      <formula>AND($H37="",$G37&lt;&gt;"",TODAY()&gt;$G37)</formula>
    </cfRule>
  </conditionalFormatting>
  <conditionalFormatting sqref="C82 C97:C101 C104">
    <cfRule type="expression" dxfId="116" priority="39">
      <formula>AND(#REF!="",#REF!&lt;&gt;"",TODAY()&gt;#REF!)</formula>
    </cfRule>
  </conditionalFormatting>
  <conditionalFormatting sqref="C95:C96">
    <cfRule type="expression" dxfId="115" priority="25">
      <formula>AND($H97="",$G97&lt;&gt;"",TODAY()&gt;$G97)</formula>
    </cfRule>
  </conditionalFormatting>
  <conditionalFormatting sqref="C99:C101">
    <cfRule type="expression" dxfId="114" priority="19">
      <formula>AND($H99="",$G99&lt;&gt;"",TODAY()&gt;$G99)</formula>
    </cfRule>
  </conditionalFormatting>
  <conditionalFormatting sqref="C102:C103">
    <cfRule type="expression" dxfId="113" priority="40">
      <formula>AND($H95="",$G95&lt;&gt;"",TODAY()&gt;$G95)</formula>
    </cfRule>
  </conditionalFormatting>
  <conditionalFormatting sqref="C108 C112:C122">
    <cfRule type="expression" dxfId="112" priority="15">
      <formula>AND(#REF!="",#REF!&lt;&gt;"",TODAY()&gt;#REF!)</formula>
    </cfRule>
  </conditionalFormatting>
  <conditionalFormatting sqref="C110:C111">
    <cfRule type="expression" dxfId="111" priority="14">
      <formula>AND($H112="",$G112&lt;&gt;"",TODAY()&gt;$G112)</formula>
    </cfRule>
  </conditionalFormatting>
  <conditionalFormatting sqref="C114:C122">
    <cfRule type="expression" dxfId="110" priority="9">
      <formula>AND($H114="",$G114&lt;&gt;"",TODAY()&gt;$G114)</formula>
    </cfRule>
  </conditionalFormatting>
  <conditionalFormatting sqref="D34">
    <cfRule type="expression" dxfId="109" priority="28">
      <formula>AND($H34="",$G34&lt;&gt;"",TODAY()&gt;$G34)</formula>
    </cfRule>
  </conditionalFormatting>
  <conditionalFormatting sqref="E2:E34 B5:D34 F5:M34 E36:I36 B39:D47 E39:I48 C48:D48 C49:I56 C77:C88 D82:D88 B89:I94 E94:E102 D94:D104 B94:B127 B105:I105 C106:I127 B124:I158">
    <cfRule type="expression" dxfId="108" priority="32">
      <formula>AND($H2="",$G2&lt;&gt;"",TODAY()&gt;$G2)</formula>
    </cfRule>
  </conditionalFormatting>
  <conditionalFormatting sqref="E5:E34">
    <cfRule type="expression" dxfId="107" priority="33">
      <formula>AND(#REF!="",$H5&lt;&gt;"",TODAY()&gt;$H5)</formula>
    </cfRule>
  </conditionalFormatting>
  <conditionalFormatting sqref="E74">
    <cfRule type="expression" dxfId="106" priority="24">
      <formula>AND(#REF!="",$H74&lt;&gt;"",TODAY()&gt;$H74)</formula>
    </cfRule>
  </conditionalFormatting>
  <conditionalFormatting sqref="E162">
    <cfRule type="expression" dxfId="105" priority="1">
      <formula>AND($H162="",$G162&lt;&gt;"",TODAY()&gt;$G162)</formula>
    </cfRule>
  </conditionalFormatting>
  <conditionalFormatting sqref="H10:H11">
    <cfRule type="expression" dxfId="104" priority="31">
      <formula>AND($H10="",$G10&lt;&gt;"",TODAY()&gt;$G10)</formula>
    </cfRule>
  </conditionalFormatting>
  <conditionalFormatting sqref="H13">
    <cfRule type="expression" dxfId="103" priority="29">
      <formula>AND($H13="",$G13&lt;&gt;"",TODAY()&gt;$G13)</formula>
    </cfRule>
  </conditionalFormatting>
  <conditionalFormatting sqref="H5:M7">
    <cfRule type="expression" dxfId="102" priority="30">
      <formula>AND($H5="",$G5&lt;&gt;"",TODAY()&gt;$G5)</formula>
    </cfRule>
  </conditionalFormatting>
  <conditionalFormatting sqref="H28:M28">
    <cfRule type="expression" dxfId="101" priority="27">
      <formula>AND($H28="",$G28&lt;&gt;"",TODAY()&gt;$G28)</formula>
    </cfRule>
  </conditionalFormatting>
  <conditionalFormatting sqref="I2:M4">
    <cfRule type="expression" dxfId="100" priority="34">
      <formula>AND(#REF!="",$H2&lt;&gt;"",TODAY()&gt;$H2)</formula>
    </cfRule>
  </conditionalFormatting>
  <pageMargins left="0.7" right="0.7" top="0.75" bottom="0.75" header="0.3" footer="0.3"/>
  <ignoredErrors>
    <ignoredError sqref="B123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DEFD-BB22-4975-BE4E-7A98AB44F4E7}">
  <sheetPr codeName="工作表10"/>
  <dimension ref="A1:O20"/>
  <sheetViews>
    <sheetView tabSelected="1" zoomScale="70" zoomScaleNormal="70" workbookViewId="0">
      <pane xSplit="5" ySplit="1" topLeftCell="F4" activePane="bottomRight" state="frozen"/>
      <selection pane="bottomRight" activeCell="I17" sqref="I17:J17"/>
      <selection pane="bottomLeft" activeCell="A3" sqref="A3"/>
      <selection pane="topRight" activeCell="F1" sqref="F1"/>
    </sheetView>
  </sheetViews>
  <sheetFormatPr defaultRowHeight="16.149999999999999"/>
  <cols>
    <col min="1" max="1" width="7.375" customWidth="1"/>
    <col min="2" max="2" width="11.875" customWidth="1"/>
    <col min="3" max="3" width="15.125" customWidth="1"/>
    <col min="4" max="4" width="10.125" customWidth="1"/>
    <col min="5" max="5" width="61.375" customWidth="1"/>
    <col min="6" max="6" width="71.875" customWidth="1"/>
    <col min="7" max="7" width="16.75" customWidth="1"/>
    <col min="8" max="8" width="10.5" customWidth="1"/>
    <col min="9" max="10" width="14.375" bestFit="1" customWidth="1"/>
    <col min="11" max="11" width="15.5" customWidth="1"/>
    <col min="12" max="12" width="17.125" bestFit="1" customWidth="1"/>
    <col min="13" max="13" width="15.5" customWidth="1"/>
    <col min="14" max="14" width="14.375" bestFit="1" customWidth="1"/>
    <col min="15" max="15" width="46.125" customWidth="1"/>
  </cols>
  <sheetData>
    <row r="1" spans="1:15" ht="21" customHeight="1">
      <c r="A1" s="2" t="s">
        <v>0</v>
      </c>
      <c r="B1" s="3" t="s">
        <v>396</v>
      </c>
      <c r="C1" s="3" t="s">
        <v>397</v>
      </c>
      <c r="D1" s="3" t="s">
        <v>398</v>
      </c>
      <c r="E1" s="3" t="s">
        <v>399</v>
      </c>
      <c r="F1" s="3" t="s">
        <v>400</v>
      </c>
      <c r="G1" s="3" t="s">
        <v>401</v>
      </c>
      <c r="H1" s="3" t="s">
        <v>402</v>
      </c>
      <c r="I1" s="3" t="s">
        <v>22</v>
      </c>
      <c r="J1" s="3" t="s">
        <v>4</v>
      </c>
      <c r="K1" s="3" t="s">
        <v>403</v>
      </c>
      <c r="L1" s="3" t="s">
        <v>404</v>
      </c>
      <c r="M1" s="26" t="s">
        <v>405</v>
      </c>
      <c r="N1" s="26" t="s">
        <v>406</v>
      </c>
      <c r="O1" s="5" t="s">
        <v>29</v>
      </c>
    </row>
    <row r="2" spans="1:15" ht="21" customHeight="1">
      <c r="A2" s="9">
        <f>IF(E2="","",ROW()-1)</f>
        <v>1</v>
      </c>
      <c r="B2" s="1" t="s">
        <v>393</v>
      </c>
      <c r="C2" s="12">
        <v>46059</v>
      </c>
      <c r="D2" s="1" t="s">
        <v>407</v>
      </c>
      <c r="E2" s="86" t="s">
        <v>408</v>
      </c>
      <c r="F2" s="18" t="s">
        <v>409</v>
      </c>
      <c r="G2" s="1" t="s">
        <v>41</v>
      </c>
      <c r="H2" s="10" t="str">
        <f ca="1">IF($N2&lt;&gt;"","已確認",IF($K2&lt;&gt;"","Uat已完成",IF($J2&lt;&gt;"","修改完成",IF(AND(TODAY()&gt;$I2,$I2&lt;&gt;""),"已逾期",IF(AND(TODAY()&lt;=$I2,$I2&lt;&gt;""),"進行中","")))))</f>
        <v/>
      </c>
      <c r="I2" s="13"/>
      <c r="J2" s="13"/>
      <c r="K2" s="13"/>
      <c r="L2" s="13"/>
      <c r="M2" s="13"/>
      <c r="N2" s="24"/>
      <c r="O2" s="4"/>
    </row>
    <row r="3" spans="1:15" ht="21" customHeight="1">
      <c r="A3" s="9">
        <f>IF(E3="","",ROW()-1)</f>
        <v>2</v>
      </c>
      <c r="B3" s="1" t="s">
        <v>393</v>
      </c>
      <c r="C3" s="12">
        <v>46059</v>
      </c>
      <c r="D3" s="1" t="s">
        <v>407</v>
      </c>
      <c r="E3" s="86" t="s">
        <v>410</v>
      </c>
      <c r="F3" s="18" t="s">
        <v>411</v>
      </c>
      <c r="G3" s="1" t="s">
        <v>41</v>
      </c>
      <c r="H3" s="10" t="str">
        <f ca="1">IF($N3&lt;&gt;"","已確認",IF($K3&lt;&gt;"","Uat已完成",IF($J3&lt;&gt;"","修改完成",IF(AND(TODAY()&gt;$I3,$I3&lt;&gt;""),"已逾期",IF(AND(TODAY()&lt;=$I3,$I3&lt;&gt;""),"進行中","")))))</f>
        <v/>
      </c>
      <c r="I3" s="13"/>
      <c r="J3" s="13"/>
      <c r="K3" s="13"/>
      <c r="L3" s="13"/>
      <c r="M3" s="13"/>
      <c r="N3" s="24"/>
      <c r="O3" s="4"/>
    </row>
    <row r="4" spans="1:15">
      <c r="A4" s="9">
        <f t="shared" ref="A4:A20" si="0">IF(E4="","",ROW()-1)</f>
        <v>3</v>
      </c>
      <c r="B4" s="1" t="s">
        <v>393</v>
      </c>
      <c r="C4" s="12">
        <v>46044</v>
      </c>
      <c r="D4" s="1" t="s">
        <v>407</v>
      </c>
      <c r="E4" s="86" t="s">
        <v>412</v>
      </c>
      <c r="F4" s="25" t="s">
        <v>413</v>
      </c>
      <c r="G4" s="1" t="s">
        <v>75</v>
      </c>
      <c r="H4" s="10" t="str">
        <f ca="1">IF($N4&lt;&gt;"","已確認",IF($K4&lt;&gt;"","Uat已完成",IF($J4&lt;&gt;"","修改完成",IF(AND(TODAY()&gt;$I4,$I4&lt;&gt;""),"已逾期",IF(AND(TODAY()&lt;=$I4,$I4&lt;&gt;""),"進行中","")))))</f>
        <v/>
      </c>
      <c r="I4" s="13"/>
      <c r="J4" s="13"/>
      <c r="K4" s="13"/>
      <c r="L4" s="13"/>
      <c r="M4" s="13"/>
      <c r="N4" s="24"/>
      <c r="O4" s="4"/>
    </row>
    <row r="5" spans="1:15">
      <c r="A5" s="9">
        <f t="shared" si="0"/>
        <v>4</v>
      </c>
      <c r="B5" s="1" t="s">
        <v>393</v>
      </c>
      <c r="C5" s="12">
        <v>46044</v>
      </c>
      <c r="D5" s="1" t="s">
        <v>407</v>
      </c>
      <c r="E5" s="86" t="s">
        <v>414</v>
      </c>
      <c r="F5" s="25" t="s">
        <v>413</v>
      </c>
      <c r="G5" s="1" t="s">
        <v>75</v>
      </c>
      <c r="H5" s="10" t="str">
        <f t="shared" ref="H5" ca="1" si="1">IF($N5&lt;&gt;"","已確認",IF($K5&lt;&gt;"","Uat已完成",IF($J5&lt;&gt;"","修改完成",IF(AND(TODAY()&gt;$I5,$I5&lt;&gt;""),"已逾期",IF(AND(TODAY()&lt;=$I5,$I5&lt;&gt;""),"進行中","")))))</f>
        <v/>
      </c>
      <c r="I5" s="13"/>
      <c r="J5" s="13"/>
      <c r="K5" s="13"/>
      <c r="L5" s="13"/>
      <c r="M5" s="13"/>
      <c r="N5" s="24"/>
      <c r="O5" s="4"/>
    </row>
    <row r="6" spans="1:15">
      <c r="A6" s="9">
        <f t="shared" si="0"/>
        <v>5</v>
      </c>
      <c r="B6" s="1" t="s">
        <v>393</v>
      </c>
      <c r="C6" s="12">
        <v>46055</v>
      </c>
      <c r="D6" s="1" t="s">
        <v>407</v>
      </c>
      <c r="E6" s="86" t="s">
        <v>415</v>
      </c>
      <c r="F6" s="25" t="s">
        <v>416</v>
      </c>
      <c r="G6" s="1" t="s">
        <v>75</v>
      </c>
      <c r="H6" s="10" t="str">
        <f ca="1">IF($N6&lt;&gt;"","已確認",IF($K6&lt;&gt;"","Uat已完成",IF($J6&lt;&gt;"","修改完成",IF(AND(TODAY()&gt;$I6,$I6&lt;&gt;""),"已逾期",IF(AND(TODAY()&lt;=$I6,$I6&lt;&gt;""),"進行中","")))))</f>
        <v/>
      </c>
      <c r="I6" s="13"/>
      <c r="J6" s="13"/>
      <c r="K6" s="13"/>
      <c r="L6" s="13"/>
      <c r="M6" s="13"/>
      <c r="N6" s="24"/>
      <c r="O6" s="4"/>
    </row>
    <row r="7" spans="1:15">
      <c r="A7" s="9">
        <f t="shared" si="0"/>
        <v>6</v>
      </c>
      <c r="B7" s="1" t="s">
        <v>393</v>
      </c>
      <c r="C7" s="12">
        <v>46055</v>
      </c>
      <c r="D7" s="1" t="s">
        <v>407</v>
      </c>
      <c r="E7" s="86" t="s">
        <v>417</v>
      </c>
      <c r="F7" s="25" t="s">
        <v>416</v>
      </c>
      <c r="G7" s="1" t="s">
        <v>75</v>
      </c>
      <c r="H7" s="10" t="str">
        <f t="shared" ref="H7:H12" ca="1" si="2">IF($N7&lt;&gt;"","已確認",IF($K7&lt;&gt;"","Uat已完成",IF($J7&lt;&gt;"","修改完成",IF(AND(TODAY()&gt;$I7,$I7&lt;&gt;""),"已逾期",IF(AND(TODAY()&lt;=$I7,$I7&lt;&gt;""),"進行中","")))))</f>
        <v/>
      </c>
      <c r="I7" s="13"/>
      <c r="J7" s="13"/>
      <c r="K7" s="13"/>
      <c r="L7" s="13"/>
      <c r="M7" s="13"/>
      <c r="N7" s="24"/>
      <c r="O7" s="4"/>
    </row>
    <row r="8" spans="1:15">
      <c r="A8" s="9">
        <f t="shared" si="0"/>
        <v>7</v>
      </c>
      <c r="B8" s="1" t="s">
        <v>393</v>
      </c>
      <c r="C8" s="12">
        <v>46059</v>
      </c>
      <c r="D8" s="1" t="s">
        <v>407</v>
      </c>
      <c r="E8" s="86" t="s">
        <v>418</v>
      </c>
      <c r="F8" s="25" t="s">
        <v>419</v>
      </c>
      <c r="G8" s="1" t="s">
        <v>75</v>
      </c>
      <c r="H8" s="10" t="str">
        <f t="shared" ca="1" si="2"/>
        <v/>
      </c>
      <c r="I8" s="13"/>
      <c r="J8" s="13"/>
      <c r="K8" s="13"/>
      <c r="L8" s="13"/>
      <c r="M8" s="13"/>
      <c r="N8" s="24"/>
      <c r="O8" s="4"/>
    </row>
    <row r="9" spans="1:15">
      <c r="A9" s="9">
        <f t="shared" si="0"/>
        <v>8</v>
      </c>
      <c r="B9" s="1" t="s">
        <v>393</v>
      </c>
      <c r="C9" s="12">
        <v>46064</v>
      </c>
      <c r="D9" s="1" t="s">
        <v>407</v>
      </c>
      <c r="E9" s="86" t="s">
        <v>420</v>
      </c>
      <c r="F9" s="18" t="s">
        <v>409</v>
      </c>
      <c r="G9" s="1" t="s">
        <v>41</v>
      </c>
      <c r="H9" s="10" t="str">
        <f t="shared" ca="1" si="2"/>
        <v/>
      </c>
      <c r="I9" s="13"/>
      <c r="J9" s="13"/>
      <c r="K9" s="13"/>
      <c r="L9" s="13"/>
      <c r="M9" s="13"/>
      <c r="N9" s="24"/>
      <c r="O9" s="4"/>
    </row>
    <row r="10" spans="1:15">
      <c r="A10" s="9">
        <f t="shared" si="0"/>
        <v>9</v>
      </c>
      <c r="B10" s="1" t="s">
        <v>393</v>
      </c>
      <c r="C10" s="12">
        <v>46148</v>
      </c>
      <c r="D10" s="1" t="s">
        <v>421</v>
      </c>
      <c r="E10" s="18" t="s">
        <v>422</v>
      </c>
      <c r="F10" s="25" t="s">
        <v>423</v>
      </c>
      <c r="G10" s="1" t="s">
        <v>424</v>
      </c>
      <c r="H10" s="10" t="str">
        <f t="shared" ca="1" si="2"/>
        <v/>
      </c>
      <c r="I10" s="13"/>
      <c r="J10" s="13"/>
      <c r="K10" s="13"/>
      <c r="L10" s="13"/>
      <c r="M10" s="13"/>
      <c r="N10" s="24"/>
      <c r="O10" s="4"/>
    </row>
    <row r="11" spans="1:15">
      <c r="A11" s="9">
        <f t="shared" si="0"/>
        <v>10</v>
      </c>
      <c r="B11" s="1" t="s">
        <v>393</v>
      </c>
      <c r="C11" s="12">
        <v>46148</v>
      </c>
      <c r="D11" s="1" t="s">
        <v>421</v>
      </c>
      <c r="E11" s="18" t="s">
        <v>425</v>
      </c>
      <c r="F11" s="25"/>
      <c r="G11" s="1" t="s">
        <v>424</v>
      </c>
      <c r="H11" s="10" t="str">
        <f t="shared" ca="1" si="2"/>
        <v/>
      </c>
      <c r="I11" s="13"/>
      <c r="J11" s="13"/>
      <c r="K11" s="13"/>
      <c r="L11" s="13"/>
      <c r="M11" s="13"/>
      <c r="N11" s="24"/>
      <c r="O11" s="4"/>
    </row>
    <row r="12" spans="1:15">
      <c r="A12" s="9">
        <f t="shared" si="0"/>
        <v>11</v>
      </c>
      <c r="B12" s="1" t="s">
        <v>393</v>
      </c>
      <c r="C12" s="12">
        <v>46153</v>
      </c>
      <c r="D12" s="1" t="s">
        <v>421</v>
      </c>
      <c r="E12" s="18" t="s">
        <v>426</v>
      </c>
      <c r="F12" s="25"/>
      <c r="G12" s="1" t="s">
        <v>41</v>
      </c>
      <c r="H12" s="10" t="str">
        <f t="shared" ca="1" si="2"/>
        <v>修改完成</v>
      </c>
      <c r="I12" s="13">
        <v>46155</v>
      </c>
      <c r="J12" s="13">
        <v>46155</v>
      </c>
      <c r="K12" s="13"/>
      <c r="L12" s="13"/>
      <c r="M12" s="13"/>
      <c r="N12" s="24"/>
      <c r="O12" s="4" t="s">
        <v>427</v>
      </c>
    </row>
    <row r="13" spans="1:15">
      <c r="A13" s="9">
        <f t="shared" si="0"/>
        <v>12</v>
      </c>
      <c r="B13" s="1" t="s">
        <v>393</v>
      </c>
      <c r="C13" s="12">
        <v>46162</v>
      </c>
      <c r="D13" s="1" t="s">
        <v>421</v>
      </c>
      <c r="E13" s="18" t="s">
        <v>428</v>
      </c>
      <c r="F13" s="18"/>
      <c r="G13" s="1" t="s">
        <v>41</v>
      </c>
      <c r="H13" s="10" t="str">
        <f ca="1">IF($N13&lt;&gt;"","已確認",IF($K13&lt;&gt;"","Uat已完成",IF($J13&lt;&gt;"","修改完成",IF(AND(TODAY()&gt;$I13,$I13&lt;&gt;""),"已逾期",IF(AND(TODAY()&lt;=$I13,$I13&lt;&gt;""),"進行中","")))))</f>
        <v>修改完成</v>
      </c>
      <c r="I13" s="13">
        <v>46162</v>
      </c>
      <c r="J13" s="13">
        <v>46162</v>
      </c>
      <c r="K13" s="13"/>
      <c r="L13" s="13"/>
      <c r="M13" s="13"/>
      <c r="N13" s="24"/>
      <c r="O13" s="4" t="s">
        <v>427</v>
      </c>
    </row>
    <row r="14" spans="1:15">
      <c r="A14" s="9">
        <f t="shared" si="0"/>
        <v>13</v>
      </c>
      <c r="B14" s="1" t="s">
        <v>393</v>
      </c>
      <c r="C14" s="12">
        <v>46174</v>
      </c>
      <c r="D14" s="1" t="s">
        <v>421</v>
      </c>
      <c r="E14" s="18" t="s">
        <v>429</v>
      </c>
      <c r="F14" s="18"/>
      <c r="G14" s="1" t="s">
        <v>41</v>
      </c>
      <c r="H14" s="10" t="str">
        <f ca="1">IF($N14&lt;&gt;"","已確認",IF($K14&lt;&gt;"","Uat已完成",IF($J14&lt;&gt;"","修改完成",IF(AND(TODAY()&gt;$I14,$I14&lt;&gt;""),"已逾期",IF(AND(TODAY()&lt;=$I14,$I14&lt;&gt;""),"進行中","")))))</f>
        <v>修改完成</v>
      </c>
      <c r="I14" s="13">
        <v>46175</v>
      </c>
      <c r="J14" s="13">
        <v>46175</v>
      </c>
      <c r="K14" s="13"/>
      <c r="L14" s="13"/>
      <c r="M14" s="13"/>
      <c r="N14" s="24"/>
      <c r="O14" s="4"/>
    </row>
    <row r="15" spans="1:15">
      <c r="A15" s="9">
        <f t="shared" si="0"/>
        <v>14</v>
      </c>
      <c r="B15" s="1" t="s">
        <v>430</v>
      </c>
      <c r="C15" s="12">
        <v>46202</v>
      </c>
      <c r="D15" s="1" t="s">
        <v>421</v>
      </c>
      <c r="E15" s="18" t="s">
        <v>431</v>
      </c>
      <c r="F15" s="18" t="s">
        <v>432</v>
      </c>
      <c r="G15" s="1" t="s">
        <v>433</v>
      </c>
      <c r="H15" s="10" t="str">
        <f ca="1">IF($N15&lt;&gt;"","已確認",IF($K15&lt;&gt;"","Uat已完成",IF($J15&lt;&gt;"","修改完成",IF(AND(TODAY()&gt;$I15,$I15&lt;&gt;""),"已逾期",IF(AND(TODAY()&lt;=$I15,$I15&lt;&gt;""),"進行中","")))))</f>
        <v>修改完成</v>
      </c>
      <c r="I15" s="13">
        <v>46202</v>
      </c>
      <c r="J15" s="13">
        <v>46202</v>
      </c>
      <c r="K15" s="13"/>
      <c r="L15" s="13"/>
      <c r="M15" s="13"/>
      <c r="N15" s="24"/>
      <c r="O15" s="4"/>
    </row>
    <row r="16" spans="1:15" ht="33.75">
      <c r="A16" s="9">
        <f t="shared" si="0"/>
        <v>15</v>
      </c>
      <c r="B16" s="1" t="s">
        <v>430</v>
      </c>
      <c r="C16" s="12">
        <v>46269</v>
      </c>
      <c r="D16" s="1" t="s">
        <v>421</v>
      </c>
      <c r="E16" s="18" t="s">
        <v>434</v>
      </c>
      <c r="F16" s="18"/>
      <c r="G16" s="1" t="s">
        <v>435</v>
      </c>
      <c r="H16" s="10" t="str">
        <f t="shared" ref="H16" ca="1" si="3">IF($N16&lt;&gt;"","已確認",IF($K16&lt;&gt;"","Uat已完成",IF($J16&lt;&gt;"","修改完成",IF(AND(TODAY()&gt;$I16,$I16&lt;&gt;""),"已逾期",IF(AND(TODAY()&lt;=$I16,$I16&lt;&gt;""),"進行中","")))))</f>
        <v>修改完成</v>
      </c>
      <c r="I16" s="13">
        <v>46269</v>
      </c>
      <c r="J16" s="13">
        <v>46269</v>
      </c>
      <c r="K16" s="13"/>
      <c r="L16" s="13"/>
      <c r="M16" s="13"/>
      <c r="N16" s="24"/>
      <c r="O16" s="4" t="s">
        <v>436</v>
      </c>
    </row>
    <row r="17" spans="1:15" ht="33.75">
      <c r="A17" s="9">
        <f t="shared" si="0"/>
        <v>16</v>
      </c>
      <c r="B17" s="1" t="s">
        <v>430</v>
      </c>
      <c r="C17" s="12">
        <v>46269</v>
      </c>
      <c r="D17" s="1" t="s">
        <v>437</v>
      </c>
      <c r="E17" s="18" t="s">
        <v>438</v>
      </c>
      <c r="F17" s="18"/>
      <c r="G17" s="1" t="s">
        <v>439</v>
      </c>
      <c r="H17" s="10" t="str">
        <f t="shared" ref="H17" ca="1" si="4">IF($N17&lt;&gt;"","已確認",IF($K17&lt;&gt;"","Uat已完成",IF($J17&lt;&gt;"","修改完成",IF(AND(TODAY()&gt;$I17,$I17&lt;&gt;""),"已逾期",IF(AND(TODAY()&lt;=$I17,$I17&lt;&gt;""),"進行中","")))))</f>
        <v>修改完成</v>
      </c>
      <c r="I17" s="13">
        <v>46269</v>
      </c>
      <c r="J17" s="13">
        <v>46269</v>
      </c>
      <c r="K17" s="13"/>
      <c r="L17" s="13"/>
      <c r="M17" s="13"/>
      <c r="N17" s="24"/>
      <c r="O17" s="4" t="s">
        <v>436</v>
      </c>
    </row>
    <row r="18" spans="1:15">
      <c r="A18" s="9" t="str">
        <f t="shared" si="0"/>
        <v/>
      </c>
      <c r="B18" s="1"/>
      <c r="C18" s="12"/>
      <c r="D18" s="1"/>
      <c r="E18" s="18"/>
      <c r="F18" s="18"/>
      <c r="G18" s="1"/>
      <c r="H18" s="10" t="str">
        <f ca="1">IF($N18&lt;&gt;"","已確認",IF($K18&lt;&gt;"","Uat已完成",IF($J18&lt;&gt;"","修改完成",IF(AND(TODAY()&gt;$I18,$I18&lt;&gt;""),"已逾期",IF(AND(TODAY()&lt;=$I18,$I18&lt;&gt;""),"進行中","")))))</f>
        <v/>
      </c>
      <c r="I18" s="13"/>
      <c r="J18" s="13"/>
      <c r="K18" s="13"/>
      <c r="L18" s="13"/>
      <c r="M18" s="13"/>
      <c r="N18" s="24"/>
      <c r="O18" s="4"/>
    </row>
    <row r="19" spans="1:15">
      <c r="A19" s="9" t="str">
        <f t="shared" si="0"/>
        <v/>
      </c>
      <c r="B19" s="1"/>
      <c r="C19" s="12"/>
      <c r="D19" s="1"/>
      <c r="E19" s="18"/>
      <c r="F19" s="18"/>
      <c r="G19" s="1"/>
      <c r="H19" s="10" t="str">
        <f t="shared" ref="H19:H20" ca="1" si="5">IF($N19&lt;&gt;"","已確認",IF($K19&lt;&gt;"","Uat已完成",IF($J19&lt;&gt;"","修改完成",IF(AND(TODAY()&gt;$I19,$I19&lt;&gt;""),"已逾期",IF(AND(TODAY()&lt;=$I19,$I19&lt;&gt;""),"進行中","")))))</f>
        <v/>
      </c>
      <c r="I19" s="13"/>
      <c r="J19" s="13"/>
      <c r="K19" s="13"/>
      <c r="L19" s="13"/>
      <c r="M19" s="13"/>
      <c r="N19" s="24"/>
      <c r="O19" s="4"/>
    </row>
    <row r="20" spans="1:15">
      <c r="A20" s="9" t="str">
        <f t="shared" si="0"/>
        <v/>
      </c>
      <c r="B20" s="1"/>
      <c r="C20" s="12"/>
      <c r="D20" s="1"/>
      <c r="E20" s="18"/>
      <c r="F20" s="18"/>
      <c r="G20" s="1"/>
      <c r="H20" s="10" t="str">
        <f t="shared" ca="1" si="5"/>
        <v/>
      </c>
      <c r="I20" s="13"/>
      <c r="J20" s="13"/>
      <c r="K20" s="13"/>
      <c r="L20" s="13"/>
      <c r="M20" s="13"/>
      <c r="N20" s="24"/>
      <c r="O20" s="4"/>
    </row>
  </sheetData>
  <protectedRanges>
    <protectedRange sqref="F4:XFD4 A4:D4 A5:A14 B5:D7 F5:O7 B2:E3 B9:E9 H8:O9 B8:G8 B10:O11 H12:O14 B12:F14 A15:O20" name="議題單"/>
  </protectedRanges>
  <phoneticPr fontId="1" type="noConversion"/>
  <conditionalFormatting sqref="A4:D4 F4:O7 B5:D7 A5:A14 B8:G8 H8:O9 B9:E9 B10:O11 B12:F14 H12:O14 A15:O20">
    <cfRule type="expression" dxfId="82" priority="13">
      <formula>$H4="已逾期"</formula>
    </cfRule>
    <cfRule type="expression" dxfId="81" priority="14">
      <formula>$H4="已確認"</formula>
    </cfRule>
  </conditionalFormatting>
  <conditionalFormatting sqref="B2:B3">
    <cfRule type="expression" dxfId="80" priority="3">
      <formula>$H2="已逾期"</formula>
    </cfRule>
    <cfRule type="expression" dxfId="79" priority="4">
      <formula>$H2="已確認"</formula>
    </cfRule>
  </conditionalFormatting>
  <conditionalFormatting sqref="C2:E3">
    <cfRule type="expression" dxfId="78" priority="1">
      <formula>$H2="已逾期"</formula>
    </cfRule>
    <cfRule type="expression" dxfId="77" priority="2">
      <formula>$H2="已確認"</formula>
    </cfRule>
  </conditionalFormatting>
  <conditionalFormatting sqref="E4:E7">
    <cfRule type="expression" dxfId="76" priority="7">
      <formula>AND($H4="",$G4&lt;&gt;"",TODAY()&gt;$G4)</formula>
    </cfRule>
    <cfRule type="expression" dxfId="75" priority="8">
      <formula>#REF!&lt;&gt;""</formula>
    </cfRule>
  </conditionalFormatting>
  <dataValidations count="1">
    <dataValidation type="list" allowBlank="1" showInputMessage="1" showErrorMessage="1" sqref="D2:D20" xr:uid="{9AE0AAAE-E74B-4884-BDAE-2680FF6AC1C3}">
      <formula1>"Bug,議題,需求"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4346-B4E7-4453-91C8-FB672F8B7F34}">
  <dimension ref="A1"/>
  <sheetViews>
    <sheetView workbookViewId="0"/>
  </sheetViews>
  <sheetFormatPr defaultRowHeight="15"/>
  <sheetData>
    <row r="1" spans="1:1">
      <c r="A1" t="s">
        <v>440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CD3F-05B5-4DA2-8DFB-53793D7B27AE}">
  <sheetPr>
    <tabColor rgb="FFFFFF00"/>
  </sheetPr>
  <dimension ref="A1:K19"/>
  <sheetViews>
    <sheetView workbookViewId="0">
      <selection activeCell="F11" sqref="F11"/>
    </sheetView>
  </sheetViews>
  <sheetFormatPr defaultRowHeight="16.149999999999999"/>
  <cols>
    <col min="2" max="2" width="16" bestFit="1" customWidth="1"/>
    <col min="3" max="3" width="14.875" bestFit="1" customWidth="1"/>
    <col min="5" max="6" width="17.375" bestFit="1" customWidth="1"/>
    <col min="7" max="7" width="19.125" bestFit="1" customWidth="1"/>
    <col min="8" max="8" width="14.875" bestFit="1" customWidth="1"/>
    <col min="9" max="9" width="17.5" bestFit="1" customWidth="1"/>
    <col min="10" max="10" width="17.375" bestFit="1" customWidth="1"/>
    <col min="11" max="11" width="16.625" bestFit="1" customWidth="1"/>
  </cols>
  <sheetData>
    <row r="1" spans="1:11" ht="16.899999999999999" thickBot="1">
      <c r="A1" s="11" t="s">
        <v>441</v>
      </c>
      <c r="B1" s="138"/>
      <c r="C1" s="139"/>
      <c r="D1" s="11" t="s">
        <v>441</v>
      </c>
    </row>
    <row r="2" spans="1:11" ht="21" customHeight="1">
      <c r="A2" s="2" t="s">
        <v>442</v>
      </c>
      <c r="B2" s="3" t="s">
        <v>399</v>
      </c>
      <c r="C2" s="3" t="s">
        <v>443</v>
      </c>
      <c r="D2" s="3" t="s">
        <v>402</v>
      </c>
      <c r="E2" s="3" t="s">
        <v>444</v>
      </c>
      <c r="F2" s="3" t="s">
        <v>4</v>
      </c>
      <c r="G2" s="3" t="s">
        <v>445</v>
      </c>
      <c r="H2" s="3" t="s">
        <v>404</v>
      </c>
      <c r="I2" s="26" t="s">
        <v>405</v>
      </c>
      <c r="J2" s="26" t="s">
        <v>446</v>
      </c>
      <c r="K2" s="5" t="s">
        <v>29</v>
      </c>
    </row>
    <row r="3" spans="1:11">
      <c r="A3" s="9">
        <f>IF(B3="","",ROW()-2)</f>
        <v>1</v>
      </c>
      <c r="B3" t="s">
        <v>30</v>
      </c>
      <c r="C3" s="1" t="s">
        <v>31</v>
      </c>
      <c r="D3" s="10" t="str">
        <f t="shared" ref="D3:D19" ca="1" si="0">IF($J3&lt;&gt;"","已確認",IF($G3&lt;&gt;"","Uat已完成",IF($F3&lt;&gt;"","修改完成",IF(AND(TODAY()&gt;$E3,$E3&lt;&gt;""),"已逾期",IF(AND(TODAY()&lt;=$E3,$E3&lt;&gt;""),"進行中","")))))</f>
        <v/>
      </c>
      <c r="E3" s="13"/>
      <c r="F3" s="13"/>
      <c r="G3" s="13"/>
      <c r="H3" s="13"/>
      <c r="I3" s="13"/>
      <c r="J3" s="24"/>
      <c r="K3" s="4" t="s">
        <v>447</v>
      </c>
    </row>
    <row r="4" spans="1:11">
      <c r="A4" s="9">
        <f t="shared" ref="A4:A8" si="1">IF(B4="","",ROW()-2)</f>
        <v>2</v>
      </c>
      <c r="B4" t="s">
        <v>448</v>
      </c>
      <c r="C4" s="1"/>
      <c r="D4" s="10" t="str">
        <f t="shared" ca="1" si="0"/>
        <v/>
      </c>
      <c r="E4" s="13"/>
      <c r="F4" s="13"/>
      <c r="G4" s="13"/>
      <c r="H4" s="13"/>
      <c r="I4" s="13"/>
      <c r="J4" s="24"/>
      <c r="K4" s="4" t="s">
        <v>449</v>
      </c>
    </row>
    <row r="5" spans="1:11">
      <c r="A5" s="9">
        <f>IF(B5="","",ROW()-2)</f>
        <v>3</v>
      </c>
      <c r="B5" t="s">
        <v>450</v>
      </c>
      <c r="C5" s="1"/>
      <c r="D5" s="10" t="str">
        <f t="shared" ca="1" si="0"/>
        <v/>
      </c>
      <c r="E5" s="13"/>
      <c r="F5" s="13"/>
      <c r="G5" s="13"/>
      <c r="H5" s="13"/>
      <c r="I5" s="13"/>
      <c r="J5" s="24"/>
      <c r="K5" s="4" t="s">
        <v>449</v>
      </c>
    </row>
    <row r="6" spans="1:11">
      <c r="A6" s="9">
        <f t="shared" si="1"/>
        <v>4</v>
      </c>
      <c r="B6" t="s">
        <v>451</v>
      </c>
      <c r="C6" s="1"/>
      <c r="D6" s="10" t="str">
        <f t="shared" ca="1" si="0"/>
        <v/>
      </c>
      <c r="E6" s="13"/>
      <c r="F6" s="13"/>
      <c r="G6" s="13"/>
      <c r="H6" s="13"/>
      <c r="I6" s="13"/>
      <c r="J6" s="24"/>
      <c r="K6" s="4" t="s">
        <v>452</v>
      </c>
    </row>
    <row r="7" spans="1:11">
      <c r="A7" s="9">
        <f t="shared" si="1"/>
        <v>5</v>
      </c>
      <c r="B7" t="s">
        <v>453</v>
      </c>
      <c r="C7" s="1"/>
      <c r="D7" s="10" t="str">
        <f t="shared" ca="1" si="0"/>
        <v/>
      </c>
      <c r="E7" s="13"/>
      <c r="F7" s="13"/>
      <c r="G7" s="13"/>
      <c r="H7" s="13"/>
      <c r="I7" s="13"/>
      <c r="J7" s="24"/>
      <c r="K7" s="4" t="s">
        <v>454</v>
      </c>
    </row>
    <row r="8" spans="1:11">
      <c r="A8" s="9">
        <f t="shared" si="1"/>
        <v>6</v>
      </c>
      <c r="B8" t="s">
        <v>455</v>
      </c>
      <c r="C8" s="1"/>
      <c r="D8" s="10" t="str">
        <f t="shared" ca="1" si="0"/>
        <v/>
      </c>
      <c r="E8" s="13"/>
      <c r="F8" s="13"/>
      <c r="G8" s="13"/>
      <c r="H8" s="13"/>
      <c r="I8" s="13"/>
      <c r="J8" s="24"/>
      <c r="K8" s="4" t="s">
        <v>456</v>
      </c>
    </row>
    <row r="9" spans="1:11">
      <c r="A9" s="9" t="str">
        <f t="shared" ref="A9:A19" si="2">IF(B9="","",ROW()-2)</f>
        <v/>
      </c>
      <c r="B9" s="18"/>
      <c r="C9" s="1"/>
      <c r="D9" s="10" t="str">
        <f t="shared" ca="1" si="0"/>
        <v/>
      </c>
      <c r="E9" s="13"/>
      <c r="F9" s="13"/>
      <c r="G9" s="13"/>
      <c r="H9" s="13"/>
      <c r="I9" s="13"/>
      <c r="J9" s="24"/>
      <c r="K9" s="4"/>
    </row>
    <row r="10" spans="1:11">
      <c r="A10" s="9" t="str">
        <f t="shared" si="2"/>
        <v/>
      </c>
      <c r="B10" s="18"/>
      <c r="C10" s="1"/>
      <c r="D10" s="10" t="str">
        <f t="shared" ca="1" si="0"/>
        <v/>
      </c>
      <c r="E10" s="13"/>
      <c r="F10" s="13"/>
      <c r="G10" s="13"/>
      <c r="H10" s="13"/>
      <c r="I10" s="13"/>
      <c r="J10" s="24"/>
      <c r="K10" s="4"/>
    </row>
    <row r="11" spans="1:11">
      <c r="A11" s="9" t="str">
        <f t="shared" si="2"/>
        <v/>
      </c>
      <c r="B11" s="18"/>
      <c r="C11" s="1"/>
      <c r="D11" s="10" t="str">
        <f t="shared" ca="1" si="0"/>
        <v/>
      </c>
      <c r="E11" s="13"/>
      <c r="F11" s="13"/>
      <c r="G11" s="13"/>
      <c r="H11" s="13"/>
      <c r="I11" s="13"/>
      <c r="J11" s="24"/>
      <c r="K11" s="4"/>
    </row>
    <row r="12" spans="1:11">
      <c r="A12" s="9" t="str">
        <f t="shared" si="2"/>
        <v/>
      </c>
      <c r="B12" s="18"/>
      <c r="C12" s="1"/>
      <c r="D12" s="10" t="str">
        <f t="shared" ca="1" si="0"/>
        <v/>
      </c>
      <c r="E12" s="13"/>
      <c r="F12" s="13"/>
      <c r="G12" s="13"/>
      <c r="H12" s="13"/>
      <c r="I12" s="13"/>
      <c r="J12" s="24"/>
      <c r="K12" s="4"/>
    </row>
    <row r="13" spans="1:11">
      <c r="A13" s="9" t="str">
        <f t="shared" si="2"/>
        <v/>
      </c>
      <c r="B13" s="18"/>
      <c r="C13" s="1"/>
      <c r="D13" s="10" t="str">
        <f t="shared" ca="1" si="0"/>
        <v/>
      </c>
      <c r="E13" s="13"/>
      <c r="F13" s="13"/>
      <c r="G13" s="13"/>
      <c r="H13" s="13"/>
      <c r="I13" s="13"/>
      <c r="J13" s="24"/>
      <c r="K13" s="4"/>
    </row>
    <row r="14" spans="1:11">
      <c r="A14" s="9" t="str">
        <f t="shared" si="2"/>
        <v/>
      </c>
      <c r="B14" s="18"/>
      <c r="C14" s="1"/>
      <c r="D14" s="10" t="str">
        <f t="shared" ca="1" si="0"/>
        <v/>
      </c>
      <c r="E14" s="13"/>
      <c r="F14" s="13"/>
      <c r="G14" s="13"/>
      <c r="H14" s="13"/>
      <c r="I14" s="13"/>
      <c r="J14" s="24"/>
      <c r="K14" s="4"/>
    </row>
    <row r="15" spans="1:11">
      <c r="A15" s="9" t="str">
        <f t="shared" si="2"/>
        <v/>
      </c>
      <c r="B15" s="18"/>
      <c r="C15" s="1"/>
      <c r="D15" s="10" t="str">
        <f t="shared" ca="1" si="0"/>
        <v/>
      </c>
      <c r="E15" s="13"/>
      <c r="F15" s="13"/>
      <c r="G15" s="13"/>
      <c r="H15" s="13"/>
      <c r="I15" s="13"/>
      <c r="J15" s="24"/>
      <c r="K15" s="4"/>
    </row>
    <row r="16" spans="1:11">
      <c r="A16" s="9" t="str">
        <f t="shared" si="2"/>
        <v/>
      </c>
      <c r="B16" s="18"/>
      <c r="C16" s="1"/>
      <c r="D16" s="10" t="str">
        <f t="shared" ca="1" si="0"/>
        <v/>
      </c>
      <c r="E16" s="13"/>
      <c r="F16" s="13"/>
      <c r="G16" s="13"/>
      <c r="H16" s="13"/>
      <c r="I16" s="13"/>
      <c r="J16" s="24"/>
      <c r="K16" s="4"/>
    </row>
    <row r="17" spans="1:11">
      <c r="A17" s="9" t="str">
        <f t="shared" si="2"/>
        <v/>
      </c>
      <c r="B17" s="18"/>
      <c r="C17" s="1"/>
      <c r="D17" s="10" t="str">
        <f t="shared" ca="1" si="0"/>
        <v/>
      </c>
      <c r="E17" s="13"/>
      <c r="F17" s="13"/>
      <c r="G17" s="13"/>
      <c r="H17" s="13"/>
      <c r="I17" s="13"/>
      <c r="J17" s="24"/>
      <c r="K17" s="4"/>
    </row>
    <row r="18" spans="1:11">
      <c r="A18" s="9" t="str">
        <f t="shared" si="2"/>
        <v/>
      </c>
      <c r="B18" s="18"/>
      <c r="C18" s="1"/>
      <c r="D18" s="10" t="str">
        <f t="shared" ca="1" si="0"/>
        <v/>
      </c>
      <c r="E18" s="13"/>
      <c r="F18" s="13"/>
      <c r="G18" s="13"/>
      <c r="H18" s="13"/>
      <c r="I18" s="13"/>
      <c r="J18" s="24"/>
      <c r="K18" s="4"/>
    </row>
    <row r="19" spans="1:11">
      <c r="A19" s="9" t="str">
        <f t="shared" si="2"/>
        <v/>
      </c>
      <c r="B19" s="18"/>
      <c r="C19" s="1"/>
      <c r="D19" s="10" t="str">
        <f t="shared" ca="1" si="0"/>
        <v/>
      </c>
      <c r="E19" s="13"/>
      <c r="F19" s="13"/>
      <c r="G19" s="13"/>
      <c r="H19" s="13"/>
      <c r="I19" s="13"/>
      <c r="J19" s="24"/>
      <c r="K19" s="4"/>
    </row>
  </sheetData>
  <protectedRanges>
    <protectedRange sqref="B9:B19 C9:K19 A9:A19 L3:XFD3" name="議題單"/>
    <protectedRange sqref="A3:A8 C3:K8" name="議題單_1"/>
  </protectedRanges>
  <mergeCells count="1">
    <mergeCell ref="B1:C1"/>
  </mergeCells>
  <phoneticPr fontId="1" type="noConversion"/>
  <conditionalFormatting sqref="A3:K19">
    <cfRule type="expression" dxfId="54" priority="1">
      <formula>$D3="已逾期"</formula>
    </cfRule>
    <cfRule type="expression" dxfId="53" priority="2">
      <formula>$D3="已確認"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041E-B194-4F68-ABD3-6BF76CF5AA45}">
  <sheetPr>
    <tabColor rgb="FFFFFF00"/>
  </sheetPr>
  <dimension ref="A1:O173"/>
  <sheetViews>
    <sheetView zoomScale="85" zoomScaleNormal="85" workbookViewId="0">
      <pane ySplit="1" topLeftCell="A74" activePane="bottomLeft" state="frozen"/>
      <selection pane="bottomLeft" activeCell="F87" sqref="F87"/>
    </sheetView>
  </sheetViews>
  <sheetFormatPr defaultColWidth="8.875" defaultRowHeight="16.149999999999999"/>
  <cols>
    <col min="1" max="1" width="6.125" customWidth="1"/>
    <col min="2" max="2" width="10.625" style="67" customWidth="1"/>
    <col min="3" max="3" width="69.375" customWidth="1"/>
    <col min="4" max="4" width="9.5" customWidth="1"/>
    <col min="5" max="5" width="27.375" customWidth="1"/>
    <col min="6" max="6" width="16.125" customWidth="1"/>
    <col min="7" max="7" width="17.875" customWidth="1"/>
    <col min="8" max="9" width="19.5" bestFit="1" customWidth="1"/>
    <col min="10" max="10" width="10.5" customWidth="1"/>
    <col min="11" max="11" width="12.125" customWidth="1"/>
    <col min="12" max="12" width="11.375" customWidth="1"/>
    <col min="13" max="13" width="12" customWidth="1"/>
    <col min="14" max="14" width="14.875" hidden="1" customWidth="1"/>
    <col min="15" max="15" width="48.75" style="67" customWidth="1"/>
  </cols>
  <sheetData>
    <row r="1" spans="1:15" ht="31.15">
      <c r="A1" s="17" t="s">
        <v>0</v>
      </c>
      <c r="B1" s="68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53" t="s">
        <v>25</v>
      </c>
      <c r="K1" s="53" t="s">
        <v>26</v>
      </c>
      <c r="L1" s="53" t="s">
        <v>27</v>
      </c>
      <c r="M1" s="53" t="s">
        <v>28</v>
      </c>
      <c r="N1" s="21" t="s">
        <v>5</v>
      </c>
      <c r="O1" s="7" t="s">
        <v>29</v>
      </c>
    </row>
    <row r="2" spans="1:15" s="40" customFormat="1">
      <c r="A2" s="37">
        <f>IF(C2="","",ROW()-1)</f>
        <v>1</v>
      </c>
      <c r="B2" s="69">
        <v>1</v>
      </c>
      <c r="C2" s="20" t="s">
        <v>30</v>
      </c>
      <c r="D2" s="35">
        <v>0.5</v>
      </c>
      <c r="E2" s="1" t="s">
        <v>31</v>
      </c>
      <c r="F2" s="38">
        <v>46036</v>
      </c>
      <c r="G2" s="38">
        <v>46036</v>
      </c>
      <c r="H2" s="38">
        <v>46036</v>
      </c>
      <c r="I2" s="38">
        <v>46036</v>
      </c>
      <c r="J2" s="55"/>
      <c r="K2" s="55"/>
      <c r="L2" s="55"/>
      <c r="M2" s="55"/>
      <c r="N2" s="39"/>
      <c r="O2" s="65"/>
    </row>
    <row r="3" spans="1:15" s="40" customFormat="1">
      <c r="A3" s="54">
        <f>IF(C3="","",ROW()-1)</f>
        <v>2</v>
      </c>
      <c r="B3" s="70">
        <v>1.1000000000000001</v>
      </c>
      <c r="C3" s="18" t="s">
        <v>32</v>
      </c>
      <c r="D3" s="35">
        <v>0.5</v>
      </c>
      <c r="E3" s="1" t="s">
        <v>31</v>
      </c>
      <c r="F3" s="38">
        <v>46036</v>
      </c>
      <c r="G3" s="38">
        <v>46036</v>
      </c>
      <c r="H3" s="38">
        <v>46036</v>
      </c>
      <c r="I3" s="38">
        <v>46036</v>
      </c>
      <c r="J3" s="56"/>
      <c r="K3" s="56"/>
      <c r="L3" s="56"/>
      <c r="M3" s="56"/>
      <c r="N3" s="22"/>
      <c r="O3" s="42"/>
    </row>
    <row r="4" spans="1:15" s="40" customFormat="1">
      <c r="A4" s="54">
        <f>IF(C4="","",ROW()-1)</f>
        <v>3</v>
      </c>
      <c r="B4" s="70">
        <v>1.2</v>
      </c>
      <c r="C4" s="18" t="s">
        <v>33</v>
      </c>
      <c r="D4" s="35">
        <v>0.5</v>
      </c>
      <c r="E4" s="1" t="s">
        <v>31</v>
      </c>
      <c r="F4" s="38">
        <v>46036</v>
      </c>
      <c r="G4" s="38">
        <v>46036</v>
      </c>
      <c r="H4" s="38">
        <v>46036</v>
      </c>
      <c r="I4" s="38">
        <v>46036</v>
      </c>
      <c r="J4" s="56"/>
      <c r="K4" s="56"/>
      <c r="L4" s="56"/>
      <c r="M4" s="56"/>
      <c r="N4" s="22"/>
      <c r="O4" s="42"/>
    </row>
    <row r="5" spans="1:15" s="40" customFormat="1" ht="31.15">
      <c r="A5" s="37">
        <f t="shared" ref="A5:A173" si="0">IF(C5="","",ROW()-1)</f>
        <v>4</v>
      </c>
      <c r="B5" s="69">
        <v>2</v>
      </c>
      <c r="C5" s="20" t="s">
        <v>34</v>
      </c>
      <c r="D5" s="35">
        <f>SUM(D6:D30)</f>
        <v>55.5</v>
      </c>
      <c r="E5" s="75" t="s">
        <v>35</v>
      </c>
      <c r="F5" s="36">
        <v>46042</v>
      </c>
      <c r="G5" s="43">
        <v>46066</v>
      </c>
      <c r="H5" s="36"/>
      <c r="I5" s="36"/>
      <c r="J5" s="62"/>
      <c r="K5" s="62"/>
      <c r="L5" s="62"/>
      <c r="M5" s="62"/>
      <c r="N5" s="39"/>
      <c r="O5" s="63"/>
    </row>
    <row r="6" spans="1:15" s="40" customFormat="1" ht="31.15">
      <c r="A6" s="37">
        <f t="shared" si="0"/>
        <v>5</v>
      </c>
      <c r="B6" s="69">
        <v>2.1</v>
      </c>
      <c r="C6" s="20" t="s">
        <v>36</v>
      </c>
      <c r="D6" s="35">
        <v>3</v>
      </c>
      <c r="E6" s="75" t="s">
        <v>35</v>
      </c>
      <c r="F6" s="36">
        <v>46042</v>
      </c>
      <c r="G6" s="43">
        <v>46064</v>
      </c>
      <c r="H6" s="36"/>
      <c r="I6" s="36"/>
      <c r="J6" s="62"/>
      <c r="K6" s="62"/>
      <c r="L6" s="62"/>
      <c r="M6" s="62"/>
      <c r="N6" s="39"/>
      <c r="O6" s="63"/>
    </row>
    <row r="7" spans="1:15" s="40" customFormat="1" ht="31.15">
      <c r="A7" s="37">
        <f t="shared" si="0"/>
        <v>6</v>
      </c>
      <c r="B7" s="69">
        <v>2.2000000000000002</v>
      </c>
      <c r="C7" s="20" t="s">
        <v>37</v>
      </c>
      <c r="D7" s="35">
        <v>10</v>
      </c>
      <c r="E7" s="75" t="s">
        <v>38</v>
      </c>
      <c r="F7" s="36">
        <v>46042</v>
      </c>
      <c r="G7" s="43">
        <v>46064</v>
      </c>
      <c r="H7" s="36"/>
      <c r="I7" s="36"/>
      <c r="J7" s="62"/>
      <c r="K7" s="62"/>
      <c r="L7" s="62"/>
      <c r="M7" s="62"/>
      <c r="N7" s="39"/>
      <c r="O7" s="63"/>
    </row>
    <row r="8" spans="1:15">
      <c r="A8" s="37">
        <f t="shared" si="0"/>
        <v>7</v>
      </c>
      <c r="B8" s="70" t="s">
        <v>39</v>
      </c>
      <c r="C8" s="18" t="s">
        <v>40</v>
      </c>
      <c r="D8" s="1">
        <v>10.5</v>
      </c>
      <c r="E8" s="1" t="s">
        <v>41</v>
      </c>
      <c r="F8" s="13">
        <v>46042</v>
      </c>
      <c r="G8" s="15">
        <v>46064</v>
      </c>
      <c r="H8" s="13"/>
      <c r="I8" s="13"/>
      <c r="J8" s="56"/>
      <c r="K8" s="56"/>
      <c r="L8" s="56"/>
      <c r="M8" s="56"/>
      <c r="N8" s="22"/>
      <c r="O8" s="42"/>
    </row>
    <row r="9" spans="1:15" ht="31.15">
      <c r="A9" s="54">
        <f>IF(C9="","",ROW()-1)</f>
        <v>8</v>
      </c>
      <c r="B9" s="70" t="s">
        <v>42</v>
      </c>
      <c r="C9" s="18" t="s">
        <v>43</v>
      </c>
      <c r="D9" s="1">
        <v>1</v>
      </c>
      <c r="E9" s="1" t="s">
        <v>44</v>
      </c>
      <c r="F9" s="13">
        <v>46042</v>
      </c>
      <c r="G9" s="13">
        <v>46042</v>
      </c>
      <c r="H9" s="15">
        <v>46042</v>
      </c>
      <c r="I9" s="15">
        <v>46042</v>
      </c>
      <c r="J9" s="56"/>
      <c r="K9" s="56">
        <v>6</v>
      </c>
      <c r="L9" s="56"/>
      <c r="M9" s="56"/>
      <c r="N9" s="22"/>
      <c r="O9" s="42" t="s">
        <v>45</v>
      </c>
    </row>
    <row r="10" spans="1:15">
      <c r="A10" s="54">
        <f t="shared" ref="A10" si="1">IF(C10="","",ROW()-1)</f>
        <v>9</v>
      </c>
      <c r="B10" s="70" t="s">
        <v>46</v>
      </c>
      <c r="C10" s="18" t="s">
        <v>47</v>
      </c>
      <c r="D10" s="1">
        <v>3.5</v>
      </c>
      <c r="E10" s="1" t="s">
        <v>44</v>
      </c>
      <c r="F10" s="13">
        <v>46051</v>
      </c>
      <c r="G10" s="13">
        <v>46063</v>
      </c>
      <c r="H10" s="13">
        <v>46051</v>
      </c>
      <c r="I10" s="13"/>
      <c r="J10" s="56"/>
      <c r="K10" s="56">
        <v>4</v>
      </c>
      <c r="L10" s="56"/>
      <c r="M10" s="56"/>
      <c r="N10" s="22"/>
      <c r="O10" s="42" t="s">
        <v>48</v>
      </c>
    </row>
    <row r="11" spans="1:15">
      <c r="A11" s="54">
        <f>IF(C11="","",ROW()-1)</f>
        <v>10</v>
      </c>
      <c r="B11" s="70" t="s">
        <v>49</v>
      </c>
      <c r="C11" s="18" t="s">
        <v>50</v>
      </c>
      <c r="D11" s="1">
        <v>1</v>
      </c>
      <c r="E11" s="1" t="s">
        <v>44</v>
      </c>
      <c r="F11" s="13">
        <v>46052</v>
      </c>
      <c r="G11" s="13">
        <v>46052</v>
      </c>
      <c r="H11" s="13">
        <v>46052</v>
      </c>
      <c r="I11" s="13">
        <v>46052</v>
      </c>
      <c r="J11" s="56"/>
      <c r="K11" s="56">
        <v>4</v>
      </c>
      <c r="L11" s="56"/>
      <c r="M11" s="56"/>
      <c r="N11" s="22"/>
      <c r="O11" s="42" t="s">
        <v>51</v>
      </c>
    </row>
    <row r="12" spans="1:15" ht="31.15">
      <c r="A12" s="54">
        <f>IF(C12="","",ROW()-1)</f>
        <v>11</v>
      </c>
      <c r="B12" s="70" t="s">
        <v>52</v>
      </c>
      <c r="C12" s="18" t="s">
        <v>53</v>
      </c>
      <c r="D12" s="1">
        <v>1</v>
      </c>
      <c r="E12" s="1" t="s">
        <v>44</v>
      </c>
      <c r="F12" s="13">
        <v>46051</v>
      </c>
      <c r="G12" s="13">
        <v>46063</v>
      </c>
      <c r="H12" s="15">
        <v>46052</v>
      </c>
      <c r="I12" s="15">
        <v>46055</v>
      </c>
      <c r="J12" s="56"/>
      <c r="K12" s="56">
        <v>4</v>
      </c>
      <c r="L12" s="56"/>
      <c r="M12" s="56"/>
      <c r="N12" s="22"/>
      <c r="O12" s="41" t="s">
        <v>54</v>
      </c>
    </row>
    <row r="13" spans="1:15" ht="31.15">
      <c r="A13" s="54">
        <f t="shared" ref="A13:A16" si="2">IF(C13="","",ROW()-1)</f>
        <v>12</v>
      </c>
      <c r="B13" s="70" t="s">
        <v>55</v>
      </c>
      <c r="C13" s="18" t="s">
        <v>56</v>
      </c>
      <c r="D13" s="1">
        <v>1</v>
      </c>
      <c r="E13" s="1" t="s">
        <v>44</v>
      </c>
      <c r="F13" s="13">
        <v>46057</v>
      </c>
      <c r="G13" s="13">
        <v>46057</v>
      </c>
      <c r="H13" s="13">
        <v>46057</v>
      </c>
      <c r="I13" s="13">
        <v>46057</v>
      </c>
      <c r="J13" s="56"/>
      <c r="K13" s="56"/>
      <c r="L13" s="56"/>
      <c r="M13" s="56"/>
      <c r="N13" s="22"/>
      <c r="O13" s="42"/>
    </row>
    <row r="14" spans="1:15" ht="31.15">
      <c r="A14" s="54">
        <f t="shared" si="2"/>
        <v>13</v>
      </c>
      <c r="B14" s="70" t="s">
        <v>57</v>
      </c>
      <c r="C14" s="18" t="s">
        <v>58</v>
      </c>
      <c r="D14" s="1">
        <v>2.5</v>
      </c>
      <c r="E14" s="1" t="s">
        <v>44</v>
      </c>
      <c r="F14" s="13">
        <v>46057</v>
      </c>
      <c r="G14" s="13">
        <v>46063</v>
      </c>
      <c r="H14" s="15">
        <v>46051</v>
      </c>
      <c r="I14" s="15"/>
      <c r="J14" s="56"/>
      <c r="K14" s="56"/>
      <c r="L14" s="56"/>
      <c r="M14" s="56"/>
      <c r="N14" s="22"/>
      <c r="O14" s="42"/>
    </row>
    <row r="15" spans="1:15">
      <c r="A15" s="54">
        <f t="shared" si="2"/>
        <v>14</v>
      </c>
      <c r="B15" s="70" t="s">
        <v>59</v>
      </c>
      <c r="C15" s="18" t="s">
        <v>60</v>
      </c>
      <c r="D15" s="1">
        <v>1</v>
      </c>
      <c r="E15" s="1" t="s">
        <v>44</v>
      </c>
      <c r="F15" s="13">
        <v>46059</v>
      </c>
      <c r="G15" s="13">
        <v>46059</v>
      </c>
      <c r="H15" s="13">
        <v>46059</v>
      </c>
      <c r="I15" s="13">
        <v>46059</v>
      </c>
      <c r="J15" s="56"/>
      <c r="K15" s="56"/>
      <c r="L15" s="56"/>
      <c r="M15" s="56"/>
      <c r="N15" s="22"/>
      <c r="O15" s="42"/>
    </row>
    <row r="16" spans="1:15">
      <c r="A16" s="54">
        <f t="shared" si="2"/>
        <v>15</v>
      </c>
      <c r="B16" s="70" t="s">
        <v>61</v>
      </c>
      <c r="C16" s="18" t="s">
        <v>62</v>
      </c>
      <c r="D16" s="1">
        <v>0.5</v>
      </c>
      <c r="E16" s="1" t="s">
        <v>44</v>
      </c>
      <c r="F16" s="13">
        <v>46063</v>
      </c>
      <c r="G16" s="13">
        <v>46063</v>
      </c>
      <c r="H16" s="13">
        <v>46063</v>
      </c>
      <c r="I16" s="13">
        <v>46063</v>
      </c>
      <c r="J16" s="56"/>
      <c r="K16" s="56"/>
      <c r="L16" s="56"/>
      <c r="M16" s="56"/>
      <c r="N16" s="22"/>
      <c r="O16" s="42"/>
    </row>
    <row r="17" spans="1:15">
      <c r="A17" s="54">
        <f>IF(C17="","",ROW()-1)</f>
        <v>16</v>
      </c>
      <c r="B17" s="70" t="s">
        <v>63</v>
      </c>
      <c r="C17" s="18" t="s">
        <v>64</v>
      </c>
      <c r="D17" s="1">
        <v>1</v>
      </c>
      <c r="E17" s="1" t="s">
        <v>44</v>
      </c>
      <c r="F17" s="13">
        <v>46057</v>
      </c>
      <c r="G17" s="13">
        <v>46057</v>
      </c>
      <c r="H17" s="13">
        <v>46057</v>
      </c>
      <c r="I17" s="13">
        <v>46057</v>
      </c>
      <c r="J17" s="56"/>
      <c r="K17" s="56"/>
      <c r="L17" s="56"/>
      <c r="M17" s="56"/>
      <c r="N17" s="22"/>
      <c r="O17" s="42"/>
    </row>
    <row r="18" spans="1:15">
      <c r="A18" s="54">
        <f>IF(C18="","",ROW()-1)</f>
        <v>17</v>
      </c>
      <c r="B18" s="70" t="s">
        <v>65</v>
      </c>
      <c r="C18" s="18" t="s">
        <v>66</v>
      </c>
      <c r="D18" s="1">
        <v>1</v>
      </c>
      <c r="E18" s="1" t="s">
        <v>44</v>
      </c>
      <c r="F18" s="13">
        <v>46063</v>
      </c>
      <c r="G18" s="13">
        <v>46063</v>
      </c>
      <c r="H18" s="13">
        <v>46063</v>
      </c>
      <c r="I18" s="13">
        <v>46063</v>
      </c>
      <c r="J18" s="56"/>
      <c r="K18" s="56"/>
      <c r="L18" s="56"/>
      <c r="M18" s="56"/>
      <c r="N18" s="22"/>
      <c r="O18" s="42"/>
    </row>
    <row r="19" spans="1:15">
      <c r="A19" s="54">
        <f>IF(C19="","",ROW()-1)</f>
        <v>18</v>
      </c>
      <c r="B19" s="70" t="s">
        <v>67</v>
      </c>
      <c r="C19" s="18" t="s">
        <v>68</v>
      </c>
      <c r="D19" s="1">
        <v>1</v>
      </c>
      <c r="E19" s="1" t="s">
        <v>44</v>
      </c>
      <c r="F19" s="13">
        <v>46064</v>
      </c>
      <c r="G19" s="13">
        <v>46064</v>
      </c>
      <c r="H19" s="15"/>
      <c r="I19" s="15"/>
      <c r="J19" s="56"/>
      <c r="K19" s="56"/>
      <c r="L19" s="56"/>
      <c r="M19" s="56"/>
      <c r="N19" s="22"/>
      <c r="O19" s="42"/>
    </row>
    <row r="20" spans="1:15">
      <c r="A20" s="54">
        <f>IF(C20="","",ROW()-1)</f>
        <v>19</v>
      </c>
      <c r="B20" s="70" t="s">
        <v>69</v>
      </c>
      <c r="C20" s="18" t="s">
        <v>70</v>
      </c>
      <c r="D20" s="1">
        <v>0.5</v>
      </c>
      <c r="E20" s="1" t="s">
        <v>44</v>
      </c>
      <c r="F20" s="13">
        <v>46064</v>
      </c>
      <c r="G20" s="13">
        <v>46064</v>
      </c>
      <c r="H20" s="13">
        <v>46063</v>
      </c>
      <c r="I20" s="13"/>
      <c r="J20" s="56"/>
      <c r="K20" s="56"/>
      <c r="L20" s="56"/>
      <c r="M20" s="56"/>
      <c r="N20" s="22"/>
      <c r="O20" s="42"/>
    </row>
    <row r="21" spans="1:15">
      <c r="A21" s="54">
        <f t="shared" si="0"/>
        <v>20</v>
      </c>
      <c r="B21" s="70" t="s">
        <v>71</v>
      </c>
      <c r="C21" s="18" t="s">
        <v>72</v>
      </c>
      <c r="D21" s="1"/>
      <c r="E21" s="1"/>
      <c r="F21" s="13">
        <v>46044</v>
      </c>
      <c r="G21" s="13">
        <v>46063</v>
      </c>
      <c r="H21" s="15">
        <v>46044</v>
      </c>
      <c r="I21" s="15"/>
      <c r="J21" s="56"/>
      <c r="K21" s="56"/>
      <c r="L21" s="56"/>
      <c r="M21" s="56"/>
      <c r="N21" s="22"/>
      <c r="O21" s="42"/>
    </row>
    <row r="22" spans="1:15">
      <c r="A22" s="54">
        <f t="shared" ref="A22:A27" si="3">IF(C22="","",ROW()-1)</f>
        <v>21</v>
      </c>
      <c r="B22" s="70" t="s">
        <v>73</v>
      </c>
      <c r="C22" s="86" t="s">
        <v>74</v>
      </c>
      <c r="D22" s="87">
        <v>2</v>
      </c>
      <c r="E22" s="87" t="s">
        <v>75</v>
      </c>
      <c r="F22" s="88">
        <v>46044</v>
      </c>
      <c r="G22" s="88">
        <v>46044</v>
      </c>
      <c r="H22" s="15">
        <v>46044</v>
      </c>
      <c r="I22" s="15">
        <v>46044</v>
      </c>
      <c r="J22" s="56"/>
      <c r="K22" s="56"/>
      <c r="L22" s="56"/>
      <c r="M22" s="56"/>
      <c r="N22" s="22"/>
      <c r="O22" s="42"/>
    </row>
    <row r="23" spans="1:15">
      <c r="A23" s="54">
        <f t="shared" si="3"/>
        <v>22</v>
      </c>
      <c r="B23" s="70" t="s">
        <v>76</v>
      </c>
      <c r="C23" s="86" t="s">
        <v>77</v>
      </c>
      <c r="D23" s="87">
        <v>3</v>
      </c>
      <c r="E23" s="87" t="s">
        <v>75</v>
      </c>
      <c r="F23" s="88">
        <v>46059</v>
      </c>
      <c r="G23" s="88">
        <v>46062</v>
      </c>
      <c r="H23" s="15">
        <v>46062</v>
      </c>
      <c r="I23" s="15">
        <v>46063</v>
      </c>
      <c r="J23" s="56"/>
      <c r="K23" s="56"/>
      <c r="L23" s="56"/>
      <c r="M23" s="56"/>
      <c r="N23" s="22"/>
      <c r="O23" s="42"/>
    </row>
    <row r="24" spans="1:15">
      <c r="A24" s="54">
        <f t="shared" si="3"/>
        <v>23</v>
      </c>
      <c r="B24" s="70" t="s">
        <v>78</v>
      </c>
      <c r="C24" s="86" t="s">
        <v>79</v>
      </c>
      <c r="D24" s="87">
        <v>2</v>
      </c>
      <c r="E24" s="87" t="s">
        <v>75</v>
      </c>
      <c r="F24" s="88">
        <v>46056</v>
      </c>
      <c r="G24" s="88">
        <v>46056</v>
      </c>
      <c r="H24" s="88">
        <v>46056</v>
      </c>
      <c r="I24" s="88">
        <v>46056</v>
      </c>
      <c r="J24" s="56"/>
      <c r="K24" s="56"/>
      <c r="L24" s="56"/>
      <c r="M24" s="56"/>
      <c r="N24" s="22"/>
      <c r="O24" s="42"/>
    </row>
    <row r="25" spans="1:15">
      <c r="A25" s="54">
        <f t="shared" si="3"/>
        <v>24</v>
      </c>
      <c r="B25" s="70" t="s">
        <v>80</v>
      </c>
      <c r="C25" s="86" t="s">
        <v>81</v>
      </c>
      <c r="D25" s="87">
        <v>3</v>
      </c>
      <c r="E25" s="87" t="s">
        <v>75</v>
      </c>
      <c r="F25" s="88">
        <v>46059</v>
      </c>
      <c r="G25" s="88">
        <v>46063</v>
      </c>
      <c r="H25" s="15">
        <v>46090</v>
      </c>
      <c r="I25" s="15"/>
      <c r="J25" s="56"/>
      <c r="K25" s="56"/>
      <c r="L25" s="56"/>
      <c r="M25" s="56"/>
      <c r="N25" s="22"/>
      <c r="O25" s="42"/>
    </row>
    <row r="26" spans="1:15">
      <c r="A26" s="54">
        <f t="shared" si="3"/>
        <v>25</v>
      </c>
      <c r="B26" s="70" t="s">
        <v>82</v>
      </c>
      <c r="C26" s="86" t="s">
        <v>83</v>
      </c>
      <c r="D26" s="87">
        <v>2</v>
      </c>
      <c r="E26" s="87" t="s">
        <v>75</v>
      </c>
      <c r="F26" s="88">
        <v>46059</v>
      </c>
      <c r="G26" s="88">
        <v>46059</v>
      </c>
      <c r="H26" s="88">
        <v>46059</v>
      </c>
      <c r="I26" s="88">
        <v>46059</v>
      </c>
      <c r="J26" s="56"/>
      <c r="K26" s="56"/>
      <c r="L26" s="56"/>
      <c r="M26" s="56"/>
      <c r="N26" s="22"/>
      <c r="O26" s="42"/>
    </row>
    <row r="27" spans="1:15">
      <c r="A27" s="54">
        <f t="shared" si="3"/>
        <v>26</v>
      </c>
      <c r="B27" s="70" t="s">
        <v>84</v>
      </c>
      <c r="C27" s="86" t="s">
        <v>85</v>
      </c>
      <c r="D27" s="87">
        <v>3</v>
      </c>
      <c r="E27" s="87" t="s">
        <v>75</v>
      </c>
      <c r="F27" s="88">
        <v>46059</v>
      </c>
      <c r="G27" s="88">
        <v>46063</v>
      </c>
      <c r="H27" s="15"/>
      <c r="I27" s="15"/>
      <c r="J27" s="56"/>
      <c r="K27" s="56"/>
      <c r="L27" s="56"/>
      <c r="M27" s="56"/>
      <c r="N27" s="22"/>
      <c r="O27" s="42"/>
    </row>
    <row r="28" spans="1:15" s="40" customFormat="1">
      <c r="A28" s="37">
        <f>IF(C28="","",ROW()-1)</f>
        <v>27</v>
      </c>
      <c r="B28" s="69" t="s">
        <v>86</v>
      </c>
      <c r="C28" s="83" t="s">
        <v>87</v>
      </c>
      <c r="D28" s="84"/>
      <c r="E28" s="90"/>
      <c r="F28" s="85">
        <v>46063</v>
      </c>
      <c r="G28" s="91">
        <v>46066</v>
      </c>
      <c r="H28" s="36"/>
      <c r="I28" s="36"/>
      <c r="J28" s="62"/>
      <c r="K28" s="62"/>
      <c r="L28" s="62"/>
      <c r="M28" s="62"/>
      <c r="N28" s="39"/>
      <c r="O28" s="63"/>
    </row>
    <row r="29" spans="1:15">
      <c r="A29" s="54">
        <f>IF(C29="","",ROW()-1)</f>
        <v>28</v>
      </c>
      <c r="B29" s="70" t="s">
        <v>88</v>
      </c>
      <c r="C29" s="86" t="s">
        <v>89</v>
      </c>
      <c r="D29" s="87">
        <v>1</v>
      </c>
      <c r="E29" s="87" t="s">
        <v>41</v>
      </c>
      <c r="F29" s="88">
        <v>46063</v>
      </c>
      <c r="G29" s="88">
        <v>46066</v>
      </c>
      <c r="H29" s="15"/>
      <c r="I29" s="15"/>
      <c r="J29" s="56"/>
      <c r="K29" s="56"/>
      <c r="L29" s="56"/>
      <c r="M29" s="56"/>
      <c r="N29" s="22"/>
      <c r="O29" s="42"/>
    </row>
    <row r="30" spans="1:15" ht="31.15">
      <c r="A30" s="54">
        <f t="shared" si="0"/>
        <v>29</v>
      </c>
      <c r="B30" s="70" t="s">
        <v>90</v>
      </c>
      <c r="C30" s="86" t="s">
        <v>91</v>
      </c>
      <c r="D30" s="87">
        <v>1</v>
      </c>
      <c r="E30" s="92" t="s">
        <v>38</v>
      </c>
      <c r="F30" s="88">
        <v>46063</v>
      </c>
      <c r="G30" s="88">
        <v>46066</v>
      </c>
      <c r="H30" s="15"/>
      <c r="I30" s="15"/>
      <c r="J30" s="56"/>
      <c r="K30" s="56"/>
      <c r="L30" s="56"/>
      <c r="M30" s="56"/>
      <c r="N30" s="22"/>
      <c r="O30" s="42"/>
    </row>
    <row r="31" spans="1:15" s="40" customFormat="1">
      <c r="A31" s="37">
        <f>IF(C31="","",ROW()-1)</f>
        <v>30</v>
      </c>
      <c r="B31" s="69">
        <v>2.4</v>
      </c>
      <c r="C31" s="20" t="s">
        <v>92</v>
      </c>
      <c r="D31" s="35">
        <v>1</v>
      </c>
      <c r="E31" s="35" t="s">
        <v>41</v>
      </c>
      <c r="F31" s="36">
        <v>46063</v>
      </c>
      <c r="G31" s="36">
        <v>46063</v>
      </c>
      <c r="H31" s="43"/>
      <c r="I31" s="43"/>
      <c r="J31" s="64"/>
      <c r="K31" s="64"/>
      <c r="L31" s="64"/>
      <c r="M31" s="64"/>
      <c r="N31" s="39"/>
      <c r="O31" s="65"/>
    </row>
    <row r="32" spans="1:15" s="40" customFormat="1">
      <c r="A32" s="37">
        <f>IF(C32="","",ROW()-1)</f>
        <v>31</v>
      </c>
      <c r="B32" s="69">
        <v>2.5</v>
      </c>
      <c r="C32" s="20" t="s">
        <v>93</v>
      </c>
      <c r="D32" s="35">
        <v>1</v>
      </c>
      <c r="E32" s="35" t="s">
        <v>44</v>
      </c>
      <c r="F32" s="36">
        <v>46063</v>
      </c>
      <c r="G32" s="36">
        <v>46063</v>
      </c>
      <c r="H32" s="43"/>
      <c r="I32" s="43"/>
      <c r="J32" s="64"/>
      <c r="K32" s="64"/>
      <c r="L32" s="64"/>
      <c r="M32" s="64"/>
      <c r="N32" s="39"/>
      <c r="O32" s="65"/>
    </row>
    <row r="33" spans="1:15" s="40" customFormat="1">
      <c r="A33" s="37">
        <f>IF(C33="","",ROW()-1)</f>
        <v>32</v>
      </c>
      <c r="B33" s="69">
        <v>2.6</v>
      </c>
      <c r="C33" s="20" t="s">
        <v>94</v>
      </c>
      <c r="D33" s="35">
        <v>1</v>
      </c>
      <c r="E33" s="35" t="s">
        <v>44</v>
      </c>
      <c r="F33" s="36">
        <v>46063</v>
      </c>
      <c r="G33" s="36">
        <v>46063</v>
      </c>
      <c r="H33" s="43"/>
      <c r="I33" s="43"/>
      <c r="J33" s="64"/>
      <c r="K33" s="64"/>
      <c r="L33" s="64"/>
      <c r="M33" s="64"/>
      <c r="N33" s="39"/>
      <c r="O33" s="65"/>
    </row>
    <row r="34" spans="1:15" s="40" customFormat="1">
      <c r="A34" s="37">
        <f t="shared" si="0"/>
        <v>33</v>
      </c>
      <c r="B34" s="69">
        <v>2.7</v>
      </c>
      <c r="C34" s="20" t="s">
        <v>95</v>
      </c>
      <c r="D34" s="35">
        <v>1</v>
      </c>
      <c r="E34" s="35" t="s">
        <v>96</v>
      </c>
      <c r="F34" s="36">
        <v>46063</v>
      </c>
      <c r="G34" s="36">
        <v>46065</v>
      </c>
      <c r="H34" s="36"/>
      <c r="I34" s="36"/>
      <c r="J34" s="64"/>
      <c r="K34" s="64"/>
      <c r="L34" s="64"/>
      <c r="M34" s="64"/>
      <c r="N34" s="39"/>
      <c r="O34" s="65"/>
    </row>
    <row r="35" spans="1:15" s="40" customFormat="1">
      <c r="A35" s="37">
        <f t="shared" si="0"/>
        <v>34</v>
      </c>
      <c r="B35" s="69">
        <v>3</v>
      </c>
      <c r="C35" s="20" t="s">
        <v>97</v>
      </c>
      <c r="D35" s="35">
        <f>SUM(D39:D56)</f>
        <v>12.5</v>
      </c>
      <c r="E35" s="35" t="s">
        <v>98</v>
      </c>
      <c r="F35" s="36">
        <v>46035</v>
      </c>
      <c r="G35" s="36">
        <v>46132</v>
      </c>
      <c r="H35" s="43">
        <v>46076</v>
      </c>
      <c r="I35" s="43"/>
      <c r="J35" s="64"/>
      <c r="K35" s="64"/>
      <c r="L35" s="64"/>
      <c r="M35" s="64"/>
      <c r="N35" s="39"/>
      <c r="O35" s="76"/>
    </row>
    <row r="36" spans="1:15" s="40" customFormat="1">
      <c r="A36" s="37">
        <f>IF(C36="","",ROW()-1)</f>
        <v>35</v>
      </c>
      <c r="B36" s="69">
        <v>3.1</v>
      </c>
      <c r="C36" s="20" t="s">
        <v>99</v>
      </c>
      <c r="D36" s="35">
        <v>1</v>
      </c>
      <c r="E36" s="35" t="s">
        <v>100</v>
      </c>
      <c r="F36" s="36">
        <v>46066</v>
      </c>
      <c r="G36" s="36">
        <v>46066</v>
      </c>
      <c r="H36" s="43"/>
      <c r="I36" s="43"/>
      <c r="J36" s="64"/>
      <c r="K36" s="64"/>
      <c r="L36" s="64"/>
      <c r="M36" s="64"/>
      <c r="N36" s="39"/>
      <c r="O36" s="65"/>
    </row>
    <row r="37" spans="1:15" s="40" customFormat="1">
      <c r="A37" s="78">
        <f>IF(C37="","",ROW()-1)</f>
        <v>36</v>
      </c>
      <c r="B37" s="69">
        <v>3.2</v>
      </c>
      <c r="C37" s="20" t="s">
        <v>457</v>
      </c>
      <c r="D37" s="35"/>
      <c r="E37" s="35"/>
      <c r="F37" s="36">
        <v>46037</v>
      </c>
      <c r="G37" s="36">
        <v>46063</v>
      </c>
      <c r="H37" s="43"/>
      <c r="I37" s="43"/>
      <c r="J37" s="64"/>
      <c r="K37" s="64"/>
      <c r="L37" s="64"/>
      <c r="M37" s="64"/>
      <c r="N37" s="39"/>
      <c r="O37" s="65"/>
    </row>
    <row r="38" spans="1:15">
      <c r="A38" s="54">
        <f>IF(C38="","",ROW()-1)</f>
        <v>37</v>
      </c>
      <c r="B38" s="70" t="s">
        <v>102</v>
      </c>
      <c r="C38" s="18" t="s">
        <v>103</v>
      </c>
      <c r="D38" s="1">
        <v>0.5</v>
      </c>
      <c r="E38" s="1" t="s">
        <v>104</v>
      </c>
      <c r="F38" s="13">
        <v>46035</v>
      </c>
      <c r="G38" s="13">
        <v>46035</v>
      </c>
      <c r="H38" s="13">
        <v>46035</v>
      </c>
      <c r="I38" s="13">
        <v>46036</v>
      </c>
      <c r="J38" s="56"/>
      <c r="K38" s="56"/>
      <c r="L38" s="56"/>
      <c r="M38" s="56">
        <v>3.5</v>
      </c>
      <c r="N38" s="22"/>
      <c r="O38" s="61" t="s">
        <v>105</v>
      </c>
    </row>
    <row r="39" spans="1:15">
      <c r="A39" s="54">
        <f t="shared" si="0"/>
        <v>38</v>
      </c>
      <c r="B39" s="70" t="s">
        <v>106</v>
      </c>
      <c r="C39" s="18" t="s">
        <v>107</v>
      </c>
      <c r="D39" s="1">
        <v>0.5</v>
      </c>
      <c r="E39" s="1" t="s">
        <v>104</v>
      </c>
      <c r="F39" s="13">
        <v>46036</v>
      </c>
      <c r="G39" s="13">
        <v>46036</v>
      </c>
      <c r="H39" s="13">
        <v>46036</v>
      </c>
      <c r="I39" s="13">
        <v>46036</v>
      </c>
      <c r="J39" s="56"/>
      <c r="K39" s="56"/>
      <c r="L39" s="56"/>
      <c r="M39" s="56">
        <v>0.5</v>
      </c>
      <c r="N39" s="22"/>
      <c r="O39" s="61" t="s">
        <v>108</v>
      </c>
    </row>
    <row r="40" spans="1:15">
      <c r="A40" s="54">
        <f t="shared" si="0"/>
        <v>39</v>
      </c>
      <c r="B40" s="70" t="s">
        <v>109</v>
      </c>
      <c r="C40" s="18" t="s">
        <v>110</v>
      </c>
      <c r="D40" s="1">
        <v>0.5</v>
      </c>
      <c r="E40" s="1" t="s">
        <v>104</v>
      </c>
      <c r="F40" s="13">
        <v>46036</v>
      </c>
      <c r="G40" s="13">
        <v>46036</v>
      </c>
      <c r="H40" s="13">
        <v>46036</v>
      </c>
      <c r="I40" s="13">
        <v>46036</v>
      </c>
      <c r="J40" s="56"/>
      <c r="K40" s="56"/>
      <c r="L40" s="56"/>
      <c r="M40" s="56">
        <v>0.5</v>
      </c>
      <c r="N40" s="22"/>
      <c r="O40" s="61" t="s">
        <v>108</v>
      </c>
    </row>
    <row r="41" spans="1:15">
      <c r="A41" s="54">
        <f>IF(C41="","",ROW()-1)</f>
        <v>40</v>
      </c>
      <c r="B41" s="70" t="s">
        <v>111</v>
      </c>
      <c r="C41" s="18" t="s">
        <v>112</v>
      </c>
      <c r="D41" s="1">
        <v>0.5</v>
      </c>
      <c r="E41" s="1" t="s">
        <v>104</v>
      </c>
      <c r="F41" s="13">
        <v>46037</v>
      </c>
      <c r="G41" s="13">
        <v>46037</v>
      </c>
      <c r="H41" s="13">
        <v>46037</v>
      </c>
      <c r="I41" s="13">
        <v>46037</v>
      </c>
      <c r="J41" s="56"/>
      <c r="K41" s="56"/>
      <c r="L41" s="56"/>
      <c r="M41" s="56">
        <v>1</v>
      </c>
      <c r="N41" s="22"/>
      <c r="O41" s="61" t="s">
        <v>113</v>
      </c>
    </row>
    <row r="42" spans="1:15">
      <c r="A42" s="54">
        <f>IF(C42="","",ROW()-1)</f>
        <v>41</v>
      </c>
      <c r="B42" s="70" t="s">
        <v>114</v>
      </c>
      <c r="C42" s="18" t="s">
        <v>115</v>
      </c>
      <c r="D42" s="1">
        <v>0.5</v>
      </c>
      <c r="E42" s="1" t="s">
        <v>104</v>
      </c>
      <c r="F42" s="13">
        <v>46037</v>
      </c>
      <c r="G42" s="13">
        <v>46037</v>
      </c>
      <c r="H42" s="13">
        <v>46037</v>
      </c>
      <c r="I42" s="13">
        <v>46037</v>
      </c>
      <c r="J42" s="56"/>
      <c r="K42" s="56"/>
      <c r="L42" s="56"/>
      <c r="M42" s="56">
        <v>1</v>
      </c>
      <c r="N42" s="22"/>
      <c r="O42" s="61" t="s">
        <v>113</v>
      </c>
    </row>
    <row r="43" spans="1:15">
      <c r="A43" s="54">
        <f t="shared" si="0"/>
        <v>42</v>
      </c>
      <c r="B43" s="70" t="s">
        <v>116</v>
      </c>
      <c r="C43" s="18" t="s">
        <v>117</v>
      </c>
      <c r="D43" s="1">
        <v>0.5</v>
      </c>
      <c r="E43" s="1" t="s">
        <v>104</v>
      </c>
      <c r="F43" s="13">
        <v>46038</v>
      </c>
      <c r="G43" s="13">
        <v>46038</v>
      </c>
      <c r="H43" s="13">
        <v>46037</v>
      </c>
      <c r="I43" s="13">
        <v>46037</v>
      </c>
      <c r="J43" s="56"/>
      <c r="K43" s="56"/>
      <c r="L43" s="56"/>
      <c r="M43" s="56">
        <v>1</v>
      </c>
      <c r="N43" s="22"/>
      <c r="O43" s="61" t="s">
        <v>113</v>
      </c>
    </row>
    <row r="44" spans="1:15">
      <c r="A44" s="54">
        <f t="shared" si="0"/>
        <v>43</v>
      </c>
      <c r="B44" s="70" t="s">
        <v>118</v>
      </c>
      <c r="C44" s="18" t="s">
        <v>119</v>
      </c>
      <c r="D44" s="1">
        <v>0.5</v>
      </c>
      <c r="E44" s="1" t="s">
        <v>104</v>
      </c>
      <c r="F44" s="13">
        <v>46038</v>
      </c>
      <c r="G44" s="13">
        <v>46038</v>
      </c>
      <c r="H44" s="13">
        <v>46037</v>
      </c>
      <c r="I44" s="13">
        <v>46037</v>
      </c>
      <c r="J44" s="56"/>
      <c r="K44" s="56"/>
      <c r="L44" s="56"/>
      <c r="M44" s="56">
        <v>1</v>
      </c>
      <c r="N44" s="22"/>
      <c r="O44" s="61" t="s">
        <v>113</v>
      </c>
    </row>
    <row r="45" spans="1:15">
      <c r="A45" s="54">
        <f>IF(C45="","",ROW()-1)</f>
        <v>44</v>
      </c>
      <c r="B45" s="70" t="s">
        <v>120</v>
      </c>
      <c r="C45" s="18" t="s">
        <v>121</v>
      </c>
      <c r="D45" s="1">
        <v>0.5</v>
      </c>
      <c r="E45" s="1" t="s">
        <v>104</v>
      </c>
      <c r="F45" s="13">
        <v>46042</v>
      </c>
      <c r="G45" s="13">
        <v>46042</v>
      </c>
      <c r="H45" s="13">
        <v>46037</v>
      </c>
      <c r="I45" s="13">
        <v>46037</v>
      </c>
      <c r="J45" s="56"/>
      <c r="K45" s="56"/>
      <c r="L45" s="56"/>
      <c r="M45" s="56">
        <v>1</v>
      </c>
      <c r="N45" s="22"/>
      <c r="O45" s="61" t="s">
        <v>113</v>
      </c>
    </row>
    <row r="46" spans="1:15">
      <c r="A46" s="54">
        <f t="shared" ref="A46:A50" si="4">IF(C46="","",ROW()-1)</f>
        <v>45</v>
      </c>
      <c r="B46" s="70" t="s">
        <v>122</v>
      </c>
      <c r="C46" s="18" t="s">
        <v>123</v>
      </c>
      <c r="D46" s="1">
        <v>1</v>
      </c>
      <c r="E46" s="1" t="s">
        <v>104</v>
      </c>
      <c r="F46" s="13">
        <v>46084</v>
      </c>
      <c r="G46" s="13">
        <v>46084</v>
      </c>
      <c r="H46" s="13">
        <v>46057</v>
      </c>
      <c r="I46" s="13">
        <v>46057</v>
      </c>
      <c r="J46" s="56"/>
      <c r="K46" s="56"/>
      <c r="L46" s="56"/>
      <c r="M46" s="56">
        <v>3</v>
      </c>
      <c r="N46" s="22"/>
      <c r="O46" s="61" t="s">
        <v>124</v>
      </c>
    </row>
    <row r="47" spans="1:15">
      <c r="A47" s="54">
        <f t="shared" si="4"/>
        <v>46</v>
      </c>
      <c r="B47" s="70" t="s">
        <v>125</v>
      </c>
      <c r="C47" s="18" t="s">
        <v>126</v>
      </c>
      <c r="D47" s="1">
        <v>1</v>
      </c>
      <c r="E47" s="1" t="s">
        <v>104</v>
      </c>
      <c r="F47" s="13">
        <v>46085</v>
      </c>
      <c r="G47" s="13">
        <v>46085</v>
      </c>
      <c r="H47" s="13">
        <v>46052</v>
      </c>
      <c r="I47" s="13">
        <v>46052</v>
      </c>
      <c r="J47" s="56"/>
      <c r="K47" s="56"/>
      <c r="L47" s="56"/>
      <c r="M47" s="56">
        <v>1</v>
      </c>
      <c r="N47" s="22"/>
      <c r="O47" s="61" t="s">
        <v>127</v>
      </c>
    </row>
    <row r="48" spans="1:15">
      <c r="A48" s="54">
        <f t="shared" si="4"/>
        <v>47</v>
      </c>
      <c r="B48" s="70" t="s">
        <v>128</v>
      </c>
      <c r="C48" s="18" t="s">
        <v>129</v>
      </c>
      <c r="D48" s="1">
        <v>1</v>
      </c>
      <c r="E48" s="1" t="s">
        <v>104</v>
      </c>
      <c r="F48" s="13">
        <v>46086</v>
      </c>
      <c r="G48" s="13">
        <v>46086</v>
      </c>
      <c r="H48" s="13">
        <v>46044</v>
      </c>
      <c r="I48" s="13">
        <v>46044</v>
      </c>
      <c r="J48" s="56"/>
      <c r="K48" s="56"/>
      <c r="L48" s="56"/>
      <c r="M48" s="56">
        <v>2</v>
      </c>
      <c r="N48" s="22"/>
      <c r="O48" s="61" t="s">
        <v>130</v>
      </c>
    </row>
    <row r="49" spans="1:15">
      <c r="A49" s="54">
        <f t="shared" si="4"/>
        <v>48</v>
      </c>
      <c r="B49" s="70" t="s">
        <v>131</v>
      </c>
      <c r="C49" s="18" t="s">
        <v>458</v>
      </c>
      <c r="D49" s="1">
        <v>1</v>
      </c>
      <c r="E49" s="1" t="s">
        <v>104</v>
      </c>
      <c r="F49" s="13">
        <v>46090</v>
      </c>
      <c r="G49" s="13">
        <v>46090</v>
      </c>
      <c r="H49" s="13"/>
      <c r="I49" s="13"/>
      <c r="J49" s="56"/>
      <c r="K49" s="56"/>
      <c r="L49" s="56"/>
      <c r="M49" s="56"/>
      <c r="N49" s="22"/>
      <c r="O49" s="61"/>
    </row>
    <row r="50" spans="1:15">
      <c r="A50" s="54">
        <f t="shared" si="4"/>
        <v>49</v>
      </c>
      <c r="B50" s="70" t="s">
        <v>459</v>
      </c>
      <c r="C50" s="18" t="s">
        <v>132</v>
      </c>
      <c r="D50" s="1">
        <v>1</v>
      </c>
      <c r="E50" s="1" t="s">
        <v>104</v>
      </c>
      <c r="F50" s="13">
        <v>46092</v>
      </c>
      <c r="G50" s="13">
        <v>46092</v>
      </c>
      <c r="H50" s="13">
        <v>46052</v>
      </c>
      <c r="I50" s="13">
        <v>46052</v>
      </c>
      <c r="J50" s="56"/>
      <c r="K50" s="56"/>
      <c r="L50" s="56"/>
      <c r="M50" s="56">
        <v>2</v>
      </c>
      <c r="N50" s="22"/>
      <c r="O50" s="61" t="s">
        <v>133</v>
      </c>
    </row>
    <row r="51" spans="1:15" s="40" customFormat="1">
      <c r="A51" s="37">
        <f t="shared" ref="A51:A61" si="5">IF(C51="","",ROW()-1)</f>
        <v>50</v>
      </c>
      <c r="B51" s="69">
        <v>3.2</v>
      </c>
      <c r="C51" s="20" t="s">
        <v>134</v>
      </c>
      <c r="D51" s="35"/>
      <c r="E51" s="35"/>
      <c r="F51" s="36">
        <v>46076</v>
      </c>
      <c r="G51" s="36">
        <v>46132</v>
      </c>
      <c r="H51" s="43"/>
      <c r="I51" s="43"/>
      <c r="J51" s="64"/>
      <c r="K51" s="64"/>
      <c r="L51" s="64"/>
      <c r="M51" s="64"/>
      <c r="N51" s="39"/>
      <c r="O51" s="76"/>
    </row>
    <row r="52" spans="1:15">
      <c r="A52" s="54">
        <f t="shared" si="5"/>
        <v>51</v>
      </c>
      <c r="B52" s="70" t="s">
        <v>102</v>
      </c>
      <c r="C52" s="18" t="s">
        <v>135</v>
      </c>
      <c r="D52" s="1">
        <v>1</v>
      </c>
      <c r="E52" s="1" t="s">
        <v>136</v>
      </c>
      <c r="F52" s="13">
        <v>46094</v>
      </c>
      <c r="G52" s="13">
        <v>46094</v>
      </c>
      <c r="H52" s="15"/>
      <c r="I52" s="15"/>
      <c r="J52" s="56"/>
      <c r="K52" s="56"/>
      <c r="L52" s="56"/>
      <c r="M52" s="56"/>
      <c r="N52" s="22"/>
      <c r="O52" s="61"/>
    </row>
    <row r="53" spans="1:15">
      <c r="A53" s="54">
        <f t="shared" si="5"/>
        <v>52</v>
      </c>
      <c r="B53" s="70" t="s">
        <v>106</v>
      </c>
      <c r="C53" s="18" t="s">
        <v>137</v>
      </c>
      <c r="D53" s="1">
        <v>1</v>
      </c>
      <c r="E53" s="1" t="s">
        <v>136</v>
      </c>
      <c r="F53" s="13">
        <v>46094</v>
      </c>
      <c r="G53" s="13">
        <v>46094</v>
      </c>
      <c r="H53" s="15"/>
      <c r="I53" s="15"/>
      <c r="J53" s="56"/>
      <c r="K53" s="56"/>
      <c r="L53" s="56"/>
      <c r="M53" s="56"/>
      <c r="N53" s="22"/>
      <c r="O53" s="61"/>
    </row>
    <row r="54" spans="1:15">
      <c r="A54" s="54">
        <f t="shared" si="5"/>
        <v>53</v>
      </c>
      <c r="B54" s="70" t="s">
        <v>109</v>
      </c>
      <c r="C54" s="79" t="s">
        <v>138</v>
      </c>
      <c r="D54" s="80">
        <v>1</v>
      </c>
      <c r="E54" s="80" t="s">
        <v>139</v>
      </c>
      <c r="F54" s="81">
        <v>46106</v>
      </c>
      <c r="G54" s="81">
        <v>46106</v>
      </c>
      <c r="H54" s="15"/>
      <c r="I54" s="15"/>
      <c r="J54" s="56"/>
      <c r="K54" s="56"/>
      <c r="L54" s="56"/>
      <c r="M54" s="56"/>
      <c r="N54" s="22"/>
      <c r="O54" s="61"/>
    </row>
    <row r="55" spans="1:15">
      <c r="A55" s="54">
        <f t="shared" si="5"/>
        <v>54</v>
      </c>
      <c r="B55" s="70" t="s">
        <v>111</v>
      </c>
      <c r="C55" s="18" t="s">
        <v>140</v>
      </c>
      <c r="D55" s="1">
        <v>1</v>
      </c>
      <c r="E55" s="1" t="s">
        <v>141</v>
      </c>
      <c r="F55" s="13">
        <v>46106</v>
      </c>
      <c r="G55" s="13">
        <v>46112</v>
      </c>
      <c r="H55" s="15"/>
      <c r="I55" s="15"/>
      <c r="J55" s="56"/>
      <c r="K55" s="56"/>
      <c r="L55" s="56"/>
      <c r="M55" s="56"/>
      <c r="N55" s="22"/>
      <c r="O55" s="61"/>
    </row>
    <row r="56" spans="1:15" s="40" customFormat="1">
      <c r="A56" s="37">
        <f t="shared" si="5"/>
        <v>55</v>
      </c>
      <c r="B56" s="69" t="s">
        <v>114</v>
      </c>
      <c r="C56" s="20" t="s">
        <v>150</v>
      </c>
      <c r="D56" s="35"/>
      <c r="E56" s="35"/>
      <c r="F56" s="36">
        <v>46106</v>
      </c>
      <c r="G56" s="36">
        <v>46118</v>
      </c>
      <c r="H56" s="43"/>
      <c r="I56" s="43"/>
      <c r="J56" s="64"/>
      <c r="K56" s="64"/>
      <c r="L56" s="64"/>
      <c r="M56" s="64"/>
      <c r="N56" s="39"/>
      <c r="O56" s="76"/>
    </row>
    <row r="57" spans="1:15">
      <c r="A57" s="54">
        <f>IF(C57="","",ROW()-1)</f>
        <v>56</v>
      </c>
      <c r="B57" s="70" t="s">
        <v>151</v>
      </c>
      <c r="C57" s="18" t="s">
        <v>152</v>
      </c>
      <c r="D57" s="1">
        <v>1</v>
      </c>
      <c r="E57" s="1" t="s">
        <v>104</v>
      </c>
      <c r="F57" s="13">
        <v>46106</v>
      </c>
      <c r="G57" s="13">
        <v>46106</v>
      </c>
      <c r="H57" s="15"/>
      <c r="I57" s="15"/>
      <c r="J57" s="56"/>
      <c r="K57" s="56"/>
      <c r="L57" s="56"/>
      <c r="M57" s="56"/>
      <c r="N57" s="22"/>
      <c r="O57" s="61"/>
    </row>
    <row r="58" spans="1:15">
      <c r="A58" s="54">
        <f>IF(C58="","",ROW()-1)</f>
        <v>57</v>
      </c>
      <c r="B58" s="70" t="s">
        <v>154</v>
      </c>
      <c r="C58" s="18" t="s">
        <v>155</v>
      </c>
      <c r="D58" s="1">
        <v>1</v>
      </c>
      <c r="E58" s="1" t="s">
        <v>104</v>
      </c>
      <c r="F58" s="13">
        <v>46107</v>
      </c>
      <c r="G58" s="13">
        <v>46107</v>
      </c>
      <c r="H58" s="15"/>
      <c r="I58" s="15"/>
      <c r="J58" s="56"/>
      <c r="K58" s="56"/>
      <c r="L58" s="56"/>
      <c r="M58" s="56"/>
      <c r="N58" s="22"/>
      <c r="O58" s="61"/>
    </row>
    <row r="59" spans="1:15">
      <c r="A59" s="54">
        <f>IF(C59="","",ROW()-1)</f>
        <v>58</v>
      </c>
      <c r="B59" s="70" t="s">
        <v>157</v>
      </c>
      <c r="C59" s="79" t="s">
        <v>158</v>
      </c>
      <c r="D59" s="80">
        <v>1</v>
      </c>
      <c r="E59" s="80" t="s">
        <v>75</v>
      </c>
      <c r="F59" s="81">
        <v>46118</v>
      </c>
      <c r="G59" s="81">
        <v>46118</v>
      </c>
      <c r="H59" s="15"/>
      <c r="I59" s="15"/>
      <c r="J59" s="56"/>
      <c r="K59" s="56"/>
      <c r="L59" s="56"/>
      <c r="M59" s="56"/>
      <c r="N59" s="22"/>
      <c r="O59" s="61"/>
    </row>
    <row r="60" spans="1:15">
      <c r="A60" s="54">
        <f>IF(C60="","",ROW()-1)</f>
        <v>59</v>
      </c>
      <c r="B60" s="70" t="s">
        <v>159</v>
      </c>
      <c r="C60" s="18" t="s">
        <v>160</v>
      </c>
      <c r="D60" s="1">
        <v>1</v>
      </c>
      <c r="E60" s="1" t="s">
        <v>161</v>
      </c>
      <c r="F60" s="13">
        <v>46108</v>
      </c>
      <c r="G60" s="13">
        <v>46108</v>
      </c>
      <c r="H60" s="15"/>
      <c r="I60" s="15"/>
      <c r="J60" s="56"/>
      <c r="K60" s="56"/>
      <c r="L60" s="56"/>
      <c r="M60" s="56"/>
      <c r="N60" s="22"/>
      <c r="O60" s="61"/>
    </row>
    <row r="61" spans="1:15" s="40" customFormat="1">
      <c r="A61" s="37">
        <f t="shared" si="5"/>
        <v>60</v>
      </c>
      <c r="B61" s="69" t="s">
        <v>162</v>
      </c>
      <c r="C61" s="20" t="s">
        <v>163</v>
      </c>
      <c r="D61" s="35">
        <v>1</v>
      </c>
      <c r="E61" s="35" t="s">
        <v>164</v>
      </c>
      <c r="F61" s="36">
        <v>46132</v>
      </c>
      <c r="G61" s="36">
        <v>46132</v>
      </c>
      <c r="H61" s="43"/>
      <c r="I61" s="43"/>
      <c r="J61" s="64"/>
      <c r="K61" s="64"/>
      <c r="L61" s="64"/>
      <c r="M61" s="64"/>
      <c r="N61" s="39"/>
      <c r="O61" s="76" t="s">
        <v>460</v>
      </c>
    </row>
    <row r="62" spans="1:15">
      <c r="A62" s="54">
        <f t="shared" ref="A62:A72" si="6">IF(C62="","",ROW()-1)</f>
        <v>61</v>
      </c>
      <c r="B62" s="70" t="s">
        <v>165</v>
      </c>
      <c r="C62" s="18" t="s">
        <v>461</v>
      </c>
      <c r="D62" s="1">
        <v>0.5</v>
      </c>
      <c r="E62" s="1" t="s">
        <v>104</v>
      </c>
      <c r="F62" s="13">
        <v>46118</v>
      </c>
      <c r="G62" s="13">
        <v>46118</v>
      </c>
      <c r="H62" s="15"/>
      <c r="I62" s="15"/>
      <c r="J62" s="56"/>
      <c r="K62" s="56"/>
      <c r="L62" s="56"/>
      <c r="M62" s="56"/>
      <c r="N62" s="22"/>
      <c r="O62" s="61"/>
    </row>
    <row r="63" spans="1:15">
      <c r="A63" s="54">
        <f t="shared" si="6"/>
        <v>62</v>
      </c>
      <c r="B63" s="70" t="s">
        <v>462</v>
      </c>
      <c r="C63" s="18" t="s">
        <v>169</v>
      </c>
      <c r="D63" s="1">
        <v>0.5</v>
      </c>
      <c r="E63" s="1" t="s">
        <v>104</v>
      </c>
      <c r="F63" s="13">
        <v>46119</v>
      </c>
      <c r="G63" s="13">
        <v>46119</v>
      </c>
      <c r="H63" s="15"/>
      <c r="I63" s="15"/>
      <c r="J63" s="56"/>
      <c r="K63" s="56"/>
      <c r="L63" s="56"/>
      <c r="M63" s="56"/>
      <c r="N63" s="22"/>
      <c r="O63" s="61"/>
    </row>
    <row r="64" spans="1:15">
      <c r="A64" s="54">
        <f t="shared" si="6"/>
        <v>63</v>
      </c>
      <c r="B64" s="70" t="s">
        <v>463</v>
      </c>
      <c r="C64" s="18" t="s">
        <v>464</v>
      </c>
      <c r="D64" s="1">
        <v>0.5</v>
      </c>
      <c r="E64" s="1" t="s">
        <v>104</v>
      </c>
      <c r="F64" s="13">
        <v>46120</v>
      </c>
      <c r="G64" s="13">
        <v>46120</v>
      </c>
      <c r="H64" s="15"/>
      <c r="I64" s="15"/>
      <c r="J64" s="56"/>
      <c r="K64" s="56"/>
      <c r="L64" s="56"/>
      <c r="M64" s="56"/>
      <c r="N64" s="22"/>
      <c r="O64" s="61" t="s">
        <v>465</v>
      </c>
    </row>
    <row r="65" spans="1:15">
      <c r="A65" s="54">
        <f t="shared" si="6"/>
        <v>64</v>
      </c>
      <c r="B65" s="70" t="s">
        <v>466</v>
      </c>
      <c r="C65" s="18" t="s">
        <v>467</v>
      </c>
      <c r="D65" s="1">
        <v>0.5</v>
      </c>
      <c r="E65" s="1" t="s">
        <v>104</v>
      </c>
      <c r="F65" s="13">
        <v>46120</v>
      </c>
      <c r="G65" s="13">
        <v>46120</v>
      </c>
      <c r="H65" s="15"/>
      <c r="I65" s="15"/>
      <c r="J65" s="56"/>
      <c r="K65" s="56"/>
      <c r="L65" s="56"/>
      <c r="M65" s="56"/>
      <c r="N65" s="22"/>
      <c r="O65" s="61"/>
    </row>
    <row r="66" spans="1:15">
      <c r="A66" s="54">
        <f t="shared" si="6"/>
        <v>65</v>
      </c>
      <c r="B66" s="70" t="s">
        <v>468</v>
      </c>
      <c r="C66" s="18" t="s">
        <v>469</v>
      </c>
      <c r="D66" s="1">
        <v>0.5</v>
      </c>
      <c r="E66" s="1" t="s">
        <v>104</v>
      </c>
      <c r="F66" s="13">
        <v>46121</v>
      </c>
      <c r="G66" s="13">
        <v>46121</v>
      </c>
      <c r="H66" s="15"/>
      <c r="I66" s="15"/>
      <c r="J66" s="56"/>
      <c r="K66" s="56"/>
      <c r="L66" s="56"/>
      <c r="M66" s="56"/>
      <c r="N66" s="22"/>
      <c r="O66" s="61"/>
    </row>
    <row r="67" spans="1:15">
      <c r="A67" s="54">
        <f t="shared" si="6"/>
        <v>66</v>
      </c>
      <c r="B67" s="70" t="s">
        <v>470</v>
      </c>
      <c r="C67" s="18" t="s">
        <v>179</v>
      </c>
      <c r="D67" s="1">
        <v>0.5</v>
      </c>
      <c r="E67" s="1" t="s">
        <v>104</v>
      </c>
      <c r="F67" s="13">
        <v>46121</v>
      </c>
      <c r="G67" s="13">
        <v>46121</v>
      </c>
      <c r="H67" s="15"/>
      <c r="I67" s="15"/>
      <c r="J67" s="56"/>
      <c r="K67" s="56"/>
      <c r="L67" s="56"/>
      <c r="M67" s="56"/>
      <c r="N67" s="22"/>
      <c r="O67" s="61"/>
    </row>
    <row r="68" spans="1:15">
      <c r="A68" s="54">
        <f t="shared" si="6"/>
        <v>67</v>
      </c>
      <c r="B68" s="70" t="s">
        <v>471</v>
      </c>
      <c r="C68" s="18" t="s">
        <v>472</v>
      </c>
      <c r="D68" s="1">
        <v>0.5</v>
      </c>
      <c r="E68" s="1" t="s">
        <v>104</v>
      </c>
      <c r="F68" s="13">
        <v>46122</v>
      </c>
      <c r="G68" s="13">
        <v>46122</v>
      </c>
      <c r="H68" s="15"/>
      <c r="I68" s="15"/>
      <c r="J68" s="56"/>
      <c r="K68" s="56"/>
      <c r="L68" s="56"/>
      <c r="M68" s="56"/>
      <c r="N68" s="22"/>
      <c r="O68" s="61"/>
    </row>
    <row r="69" spans="1:15">
      <c r="A69" s="54">
        <f t="shared" si="6"/>
        <v>68</v>
      </c>
      <c r="B69" s="70" t="s">
        <v>473</v>
      </c>
      <c r="C69" s="18" t="s">
        <v>184</v>
      </c>
      <c r="D69" s="1">
        <v>0.5</v>
      </c>
      <c r="E69" s="1" t="s">
        <v>104</v>
      </c>
      <c r="F69" s="13">
        <v>46122</v>
      </c>
      <c r="G69" s="13">
        <v>46122</v>
      </c>
      <c r="H69" s="15"/>
      <c r="I69" s="15"/>
      <c r="J69" s="56"/>
      <c r="K69" s="56"/>
      <c r="L69" s="56"/>
      <c r="M69" s="56"/>
      <c r="N69" s="22"/>
      <c r="O69" s="61"/>
    </row>
    <row r="70" spans="1:15">
      <c r="A70" s="54">
        <f t="shared" si="6"/>
        <v>69</v>
      </c>
      <c r="B70" s="70" t="s">
        <v>474</v>
      </c>
      <c r="C70" s="18" t="s">
        <v>475</v>
      </c>
      <c r="D70" s="1">
        <v>0.5</v>
      </c>
      <c r="E70" s="1" t="s">
        <v>104</v>
      </c>
      <c r="F70" s="13">
        <v>46126</v>
      </c>
      <c r="G70" s="13">
        <v>46126</v>
      </c>
      <c r="H70" s="15"/>
      <c r="I70" s="15"/>
      <c r="J70" s="56"/>
      <c r="K70" s="56"/>
      <c r="L70" s="56"/>
      <c r="M70" s="56"/>
      <c r="N70" s="22"/>
      <c r="O70" s="61" t="s">
        <v>476</v>
      </c>
    </row>
    <row r="71" spans="1:15">
      <c r="A71" s="54">
        <f t="shared" si="6"/>
        <v>70</v>
      </c>
      <c r="B71" s="70" t="s">
        <v>477</v>
      </c>
      <c r="C71" s="18" t="s">
        <v>189</v>
      </c>
      <c r="D71" s="1">
        <v>0.5</v>
      </c>
      <c r="E71" s="1" t="s">
        <v>104</v>
      </c>
      <c r="F71" s="13">
        <v>46126</v>
      </c>
      <c r="G71" s="13">
        <v>46126</v>
      </c>
      <c r="H71" s="15"/>
      <c r="I71" s="15"/>
      <c r="J71" s="56"/>
      <c r="K71" s="56"/>
      <c r="L71" s="56"/>
      <c r="M71" s="56"/>
      <c r="N71" s="22"/>
      <c r="O71" s="61"/>
    </row>
    <row r="72" spans="1:15" s="40" customFormat="1">
      <c r="A72" s="37">
        <f t="shared" si="6"/>
        <v>71</v>
      </c>
      <c r="B72" s="69" t="s">
        <v>162</v>
      </c>
      <c r="C72" s="20" t="s">
        <v>192</v>
      </c>
      <c r="D72" s="35">
        <v>1</v>
      </c>
      <c r="E72" s="35" t="s">
        <v>96</v>
      </c>
      <c r="F72" s="36">
        <v>46127</v>
      </c>
      <c r="G72" s="36">
        <v>46132</v>
      </c>
      <c r="H72" s="43"/>
      <c r="I72" s="43"/>
      <c r="J72" s="64"/>
      <c r="K72" s="64"/>
      <c r="L72" s="64"/>
      <c r="M72" s="64"/>
      <c r="N72" s="39"/>
      <c r="O72" s="76"/>
    </row>
    <row r="73" spans="1:15" s="40" customFormat="1">
      <c r="A73" s="37">
        <f t="shared" ref="A73" si="7">IF(C73="","",ROW()-1)</f>
        <v>72</v>
      </c>
      <c r="B73" s="69">
        <v>4</v>
      </c>
      <c r="C73" s="20" t="s">
        <v>193</v>
      </c>
      <c r="D73" s="35">
        <f>SUM(D75:D118)</f>
        <v>133.5</v>
      </c>
      <c r="E73" s="35"/>
      <c r="F73" s="36"/>
      <c r="G73" s="36"/>
      <c r="H73" s="43"/>
      <c r="I73" s="43"/>
      <c r="J73" s="64"/>
      <c r="K73" s="64"/>
      <c r="L73" s="64"/>
      <c r="M73" s="64"/>
      <c r="N73" s="39"/>
      <c r="O73" s="76"/>
    </row>
    <row r="74" spans="1:15" s="40" customFormat="1">
      <c r="A74" s="78">
        <f>IF(C74="","",ROW()-1)</f>
        <v>73</v>
      </c>
      <c r="B74" s="69">
        <v>4.0999999999999996</v>
      </c>
      <c r="C74" s="20" t="s">
        <v>478</v>
      </c>
      <c r="D74" s="35"/>
      <c r="E74" s="35"/>
      <c r="F74" s="36"/>
      <c r="G74" s="36"/>
      <c r="H74" s="43"/>
      <c r="I74" s="43"/>
      <c r="J74" s="64"/>
      <c r="K74" s="64"/>
      <c r="L74" s="64"/>
      <c r="M74" s="64"/>
      <c r="N74" s="39"/>
      <c r="O74" s="76"/>
    </row>
    <row r="75" spans="1:15">
      <c r="A75" s="37">
        <f t="shared" si="0"/>
        <v>74</v>
      </c>
      <c r="B75" s="70" t="s">
        <v>195</v>
      </c>
      <c r="C75" s="18" t="s">
        <v>196</v>
      </c>
      <c r="D75" s="1">
        <v>0.5</v>
      </c>
      <c r="E75" s="1" t="s">
        <v>104</v>
      </c>
      <c r="F75" s="13">
        <v>46042</v>
      </c>
      <c r="G75" s="13">
        <v>46042</v>
      </c>
      <c r="H75" s="13">
        <v>46043</v>
      </c>
      <c r="I75" s="13">
        <v>46043</v>
      </c>
      <c r="J75" s="56"/>
      <c r="K75" s="56"/>
      <c r="L75" s="56"/>
      <c r="M75" s="56">
        <v>1</v>
      </c>
      <c r="N75" s="22"/>
      <c r="O75" s="61" t="s">
        <v>197</v>
      </c>
    </row>
    <row r="76" spans="1:15">
      <c r="A76" s="37">
        <f t="shared" si="0"/>
        <v>75</v>
      </c>
      <c r="B76" s="70" t="s">
        <v>198</v>
      </c>
      <c r="C76" s="18" t="s">
        <v>199</v>
      </c>
      <c r="D76" s="1">
        <v>0.5</v>
      </c>
      <c r="E76" s="1" t="s">
        <v>104</v>
      </c>
      <c r="F76" s="13">
        <v>46043</v>
      </c>
      <c r="G76" s="13">
        <v>46043</v>
      </c>
      <c r="H76" s="13">
        <v>46043</v>
      </c>
      <c r="I76" s="13">
        <v>46043</v>
      </c>
      <c r="J76" s="56"/>
      <c r="K76" s="56"/>
      <c r="L76" s="56"/>
      <c r="M76" s="56">
        <v>1</v>
      </c>
      <c r="N76" s="22"/>
      <c r="O76" s="61" t="s">
        <v>197</v>
      </c>
    </row>
    <row r="77" spans="1:15" ht="31.15">
      <c r="A77" s="37">
        <f t="shared" si="0"/>
        <v>76</v>
      </c>
      <c r="B77" s="70" t="s">
        <v>200</v>
      </c>
      <c r="C77" s="18" t="s">
        <v>201</v>
      </c>
      <c r="D77" s="1">
        <v>0.5</v>
      </c>
      <c r="E77" s="1" t="s">
        <v>104</v>
      </c>
      <c r="F77" s="13">
        <v>46043</v>
      </c>
      <c r="G77" s="13">
        <v>46043</v>
      </c>
      <c r="H77" s="13">
        <v>46044</v>
      </c>
      <c r="I77" s="13">
        <v>46044</v>
      </c>
      <c r="J77" s="56"/>
      <c r="K77" s="56"/>
      <c r="L77" s="56"/>
      <c r="M77" s="56">
        <v>1</v>
      </c>
      <c r="N77" s="22"/>
      <c r="O77" s="74" t="s">
        <v>202</v>
      </c>
    </row>
    <row r="78" spans="1:15">
      <c r="A78" s="54">
        <f t="shared" ref="A78:A84" si="8">IF(C78="","",ROW()-1)</f>
        <v>77</v>
      </c>
      <c r="B78" s="70" t="s">
        <v>203</v>
      </c>
      <c r="C78" s="18" t="s">
        <v>204</v>
      </c>
      <c r="D78" s="1">
        <v>0.5</v>
      </c>
      <c r="E78" s="1" t="s">
        <v>104</v>
      </c>
      <c r="F78" s="13">
        <v>46044</v>
      </c>
      <c r="G78" s="13">
        <v>46044</v>
      </c>
      <c r="H78" s="13">
        <v>46044</v>
      </c>
      <c r="I78" s="13">
        <v>46044</v>
      </c>
      <c r="J78" s="56"/>
      <c r="K78" s="56"/>
      <c r="L78" s="56"/>
      <c r="M78" s="56">
        <v>2</v>
      </c>
      <c r="N78" s="22"/>
      <c r="O78" s="61" t="s">
        <v>205</v>
      </c>
    </row>
    <row r="79" spans="1:15">
      <c r="A79" s="54">
        <f t="shared" si="8"/>
        <v>78</v>
      </c>
      <c r="B79" s="70" t="s">
        <v>206</v>
      </c>
      <c r="C79" s="18" t="s">
        <v>207</v>
      </c>
      <c r="D79" s="1">
        <v>0.5</v>
      </c>
      <c r="E79" s="1" t="s">
        <v>104</v>
      </c>
      <c r="F79" s="13">
        <v>46044</v>
      </c>
      <c r="G79" s="13">
        <v>46044</v>
      </c>
      <c r="H79" s="13">
        <v>46044</v>
      </c>
      <c r="I79" s="15">
        <v>46051</v>
      </c>
      <c r="J79" s="56"/>
      <c r="K79" s="56"/>
      <c r="L79" s="56"/>
      <c r="M79" s="56">
        <v>1</v>
      </c>
      <c r="N79" s="22"/>
      <c r="O79" s="61" t="s">
        <v>208</v>
      </c>
    </row>
    <row r="80" spans="1:15">
      <c r="A80" s="54">
        <f t="shared" si="8"/>
        <v>79</v>
      </c>
      <c r="B80" s="70" t="s">
        <v>209</v>
      </c>
      <c r="C80" s="18" t="s">
        <v>210</v>
      </c>
      <c r="D80" s="1">
        <v>1</v>
      </c>
      <c r="E80" s="1" t="s">
        <v>104</v>
      </c>
      <c r="F80" s="13">
        <v>46045</v>
      </c>
      <c r="G80" s="13">
        <v>46045</v>
      </c>
      <c r="H80" s="15">
        <v>46045</v>
      </c>
      <c r="I80" s="15">
        <v>46049</v>
      </c>
      <c r="J80" s="56"/>
      <c r="K80" s="56"/>
      <c r="L80" s="56"/>
      <c r="M80" s="56">
        <v>4</v>
      </c>
      <c r="N80" s="22"/>
      <c r="O80" s="61" t="s">
        <v>211</v>
      </c>
    </row>
    <row r="81" spans="1:15">
      <c r="A81" s="54">
        <f t="shared" si="8"/>
        <v>80</v>
      </c>
      <c r="B81" s="70" t="s">
        <v>212</v>
      </c>
      <c r="C81" s="18" t="s">
        <v>213</v>
      </c>
      <c r="D81" s="1">
        <v>0.5</v>
      </c>
      <c r="E81" s="1" t="s">
        <v>104</v>
      </c>
      <c r="F81" s="13">
        <v>46049</v>
      </c>
      <c r="G81" s="13">
        <v>46049</v>
      </c>
      <c r="H81" s="15">
        <v>46059</v>
      </c>
      <c r="I81" s="15">
        <v>46059</v>
      </c>
      <c r="J81" s="56"/>
      <c r="K81" s="56"/>
      <c r="L81" s="56"/>
      <c r="M81" s="56">
        <v>1</v>
      </c>
      <c r="N81" s="22"/>
      <c r="O81" s="61" t="s">
        <v>214</v>
      </c>
    </row>
    <row r="82" spans="1:15">
      <c r="A82" s="54">
        <f t="shared" si="8"/>
        <v>81</v>
      </c>
      <c r="B82" s="70" t="s">
        <v>215</v>
      </c>
      <c r="C82" s="18" t="s">
        <v>216</v>
      </c>
      <c r="D82" s="1">
        <v>0.5</v>
      </c>
      <c r="E82" s="1" t="s">
        <v>104</v>
      </c>
      <c r="F82" s="13">
        <v>46050</v>
      </c>
      <c r="G82" s="13">
        <v>46050</v>
      </c>
      <c r="H82" s="15">
        <v>46049</v>
      </c>
      <c r="I82" s="15">
        <v>46049</v>
      </c>
      <c r="J82" s="56"/>
      <c r="K82" s="56"/>
      <c r="L82" s="56"/>
      <c r="M82" s="56">
        <v>1</v>
      </c>
      <c r="N82" s="22"/>
      <c r="O82" s="61" t="s">
        <v>217</v>
      </c>
    </row>
    <row r="83" spans="1:15">
      <c r="A83" s="54">
        <f t="shared" si="8"/>
        <v>82</v>
      </c>
      <c r="B83" s="70" t="s">
        <v>218</v>
      </c>
      <c r="C83" s="18" t="s">
        <v>219</v>
      </c>
      <c r="D83" s="1">
        <v>1</v>
      </c>
      <c r="E83" s="1" t="s">
        <v>104</v>
      </c>
      <c r="F83" s="13">
        <v>46051</v>
      </c>
      <c r="G83" s="13">
        <v>46051</v>
      </c>
      <c r="H83" s="15">
        <v>46057</v>
      </c>
      <c r="I83" s="15">
        <v>46057</v>
      </c>
      <c r="J83" s="56"/>
      <c r="K83" s="56"/>
      <c r="L83" s="56"/>
      <c r="M83" s="56">
        <v>2.5</v>
      </c>
      <c r="N83" s="22"/>
      <c r="O83" s="61" t="s">
        <v>220</v>
      </c>
    </row>
    <row r="84" spans="1:15">
      <c r="A84" s="54">
        <f t="shared" si="8"/>
        <v>83</v>
      </c>
      <c r="B84" s="70" t="s">
        <v>221</v>
      </c>
      <c r="C84" s="18" t="s">
        <v>222</v>
      </c>
      <c r="D84" s="1">
        <v>1</v>
      </c>
      <c r="E84" s="1" t="s">
        <v>104</v>
      </c>
      <c r="F84" s="13">
        <v>46052</v>
      </c>
      <c r="G84" s="13">
        <v>46052</v>
      </c>
      <c r="H84" s="15">
        <v>46056</v>
      </c>
      <c r="I84" s="15">
        <v>46056</v>
      </c>
      <c r="J84" s="56"/>
      <c r="K84" s="56"/>
      <c r="L84" s="56"/>
      <c r="M84" s="56">
        <v>1.5</v>
      </c>
      <c r="N84" s="22"/>
      <c r="O84" s="61" t="s">
        <v>223</v>
      </c>
    </row>
    <row r="85" spans="1:15">
      <c r="A85" s="54">
        <f t="shared" ref="A85:A116" si="9">IF(C85="","",ROW()-1)</f>
        <v>84</v>
      </c>
      <c r="B85" s="70" t="s">
        <v>224</v>
      </c>
      <c r="C85" s="18" t="s">
        <v>225</v>
      </c>
      <c r="D85" s="1">
        <v>1</v>
      </c>
      <c r="E85" s="1" t="s">
        <v>104</v>
      </c>
      <c r="F85" s="13">
        <v>46057</v>
      </c>
      <c r="G85" s="13">
        <v>46057</v>
      </c>
      <c r="H85" s="13">
        <v>46044</v>
      </c>
      <c r="I85" s="15">
        <v>46051</v>
      </c>
      <c r="J85" s="56"/>
      <c r="K85" s="56"/>
      <c r="L85" s="56"/>
      <c r="M85" s="56">
        <v>2</v>
      </c>
      <c r="N85" s="22"/>
      <c r="O85" s="61" t="s">
        <v>226</v>
      </c>
    </row>
    <row r="86" spans="1:15">
      <c r="A86" s="54">
        <f t="shared" si="9"/>
        <v>85</v>
      </c>
      <c r="B86" s="70" t="s">
        <v>227</v>
      </c>
      <c r="C86" s="18" t="s">
        <v>479</v>
      </c>
      <c r="D86" s="1">
        <v>1</v>
      </c>
      <c r="E86" s="1" t="s">
        <v>104</v>
      </c>
      <c r="F86" s="13">
        <v>46063</v>
      </c>
      <c r="G86" s="13">
        <v>46063</v>
      </c>
      <c r="H86" s="15">
        <v>46064</v>
      </c>
      <c r="I86" s="15">
        <v>46064</v>
      </c>
      <c r="J86" s="56"/>
      <c r="K86" s="56"/>
      <c r="L86" s="56"/>
      <c r="M86" s="56">
        <v>2</v>
      </c>
      <c r="N86" s="22"/>
      <c r="O86" s="61" t="s">
        <v>229</v>
      </c>
    </row>
    <row r="87" spans="1:15" s="102" customFormat="1">
      <c r="A87" s="95">
        <f t="shared" si="9"/>
        <v>86</v>
      </c>
      <c r="B87" s="93" t="s">
        <v>230</v>
      </c>
      <c r="C87" s="94" t="s">
        <v>231</v>
      </c>
      <c r="D87" s="96">
        <v>1</v>
      </c>
      <c r="E87" s="96" t="s">
        <v>104</v>
      </c>
      <c r="F87" s="97"/>
      <c r="G87" s="97"/>
      <c r="H87" s="98"/>
      <c r="I87" s="98"/>
      <c r="J87" s="99"/>
      <c r="K87" s="99"/>
      <c r="L87" s="99"/>
      <c r="M87" s="99"/>
      <c r="N87" s="100"/>
      <c r="O87" s="101"/>
    </row>
    <row r="88" spans="1:15" s="102" customFormat="1">
      <c r="A88" s="95">
        <f t="shared" si="9"/>
        <v>87</v>
      </c>
      <c r="B88" s="93" t="s">
        <v>232</v>
      </c>
      <c r="C88" s="94" t="s">
        <v>233</v>
      </c>
      <c r="D88" s="96">
        <v>1</v>
      </c>
      <c r="E88" s="96" t="s">
        <v>104</v>
      </c>
      <c r="F88" s="97"/>
      <c r="G88" s="97"/>
      <c r="H88" s="98"/>
      <c r="I88" s="98"/>
      <c r="J88" s="99"/>
      <c r="K88" s="99"/>
      <c r="L88" s="99"/>
      <c r="M88" s="99"/>
      <c r="N88" s="100"/>
      <c r="O88" s="103"/>
    </row>
    <row r="89" spans="1:15" s="40" customFormat="1">
      <c r="A89" s="37">
        <f t="shared" si="9"/>
        <v>88</v>
      </c>
      <c r="B89" s="69">
        <v>4.2</v>
      </c>
      <c r="C89" s="20" t="s">
        <v>480</v>
      </c>
      <c r="D89" s="35">
        <v>1</v>
      </c>
      <c r="E89" s="35" t="s">
        <v>104</v>
      </c>
      <c r="F89" s="36"/>
      <c r="G89" s="36"/>
      <c r="H89" s="43"/>
      <c r="I89" s="43"/>
      <c r="J89" s="64"/>
      <c r="K89" s="64"/>
      <c r="L89" s="64"/>
      <c r="M89" s="64"/>
      <c r="N89" s="39"/>
      <c r="O89" s="76"/>
    </row>
    <row r="90" spans="1:15">
      <c r="A90" s="54">
        <f t="shared" si="9"/>
        <v>89</v>
      </c>
      <c r="B90" s="70" t="s">
        <v>235</v>
      </c>
      <c r="C90" s="18" t="s">
        <v>236</v>
      </c>
      <c r="D90" s="1">
        <v>1</v>
      </c>
      <c r="E90" s="1" t="s">
        <v>104</v>
      </c>
      <c r="F90" s="13"/>
      <c r="G90" s="13"/>
      <c r="H90" s="15"/>
      <c r="I90" s="15"/>
      <c r="J90" s="56"/>
      <c r="K90" s="56"/>
      <c r="L90" s="56"/>
      <c r="M90" s="56"/>
      <c r="N90" s="22"/>
      <c r="O90" s="61"/>
    </row>
    <row r="91" spans="1:15">
      <c r="A91" s="54">
        <f t="shared" si="9"/>
        <v>90</v>
      </c>
      <c r="B91" s="70" t="s">
        <v>481</v>
      </c>
      <c r="C91" s="18" t="s">
        <v>240</v>
      </c>
      <c r="D91" s="1">
        <v>1</v>
      </c>
      <c r="E91" s="1" t="s">
        <v>104</v>
      </c>
      <c r="F91" s="13"/>
      <c r="G91" s="13"/>
      <c r="H91" s="15"/>
      <c r="I91" s="15"/>
      <c r="J91" s="56"/>
      <c r="K91" s="56"/>
      <c r="L91" s="56"/>
      <c r="M91" s="56"/>
      <c r="N91" s="22"/>
      <c r="O91" s="61"/>
    </row>
    <row r="92" spans="1:15">
      <c r="A92" s="54">
        <f t="shared" si="9"/>
        <v>91</v>
      </c>
      <c r="B92" s="70" t="s">
        <v>239</v>
      </c>
      <c r="C92" s="18" t="s">
        <v>256</v>
      </c>
      <c r="D92" s="1">
        <v>1</v>
      </c>
      <c r="E92" s="1" t="s">
        <v>104</v>
      </c>
      <c r="F92" s="13"/>
      <c r="G92" s="13"/>
      <c r="H92" s="15"/>
      <c r="I92" s="15"/>
      <c r="J92" s="56"/>
      <c r="K92" s="56"/>
      <c r="L92" s="56"/>
      <c r="M92" s="56"/>
      <c r="N92" s="22"/>
      <c r="O92" s="61"/>
    </row>
    <row r="93" spans="1:15">
      <c r="A93" s="77">
        <f>IF(C93="","",ROW()-1)</f>
        <v>92</v>
      </c>
      <c r="B93" s="70" t="s">
        <v>241</v>
      </c>
      <c r="C93" s="18" t="s">
        <v>258</v>
      </c>
      <c r="D93" s="1"/>
      <c r="E93" s="1"/>
      <c r="F93" s="13"/>
      <c r="G93" s="13"/>
      <c r="H93" s="15"/>
      <c r="I93" s="15"/>
      <c r="J93" s="56"/>
      <c r="K93" s="56"/>
      <c r="L93" s="56"/>
      <c r="M93" s="56"/>
      <c r="N93" s="22"/>
      <c r="O93" s="61"/>
    </row>
    <row r="94" spans="1:15">
      <c r="A94" s="54">
        <f t="shared" si="9"/>
        <v>93</v>
      </c>
      <c r="B94" s="70" t="s">
        <v>243</v>
      </c>
      <c r="C94" s="18" t="s">
        <v>482</v>
      </c>
      <c r="D94" s="1">
        <v>1</v>
      </c>
      <c r="E94" s="1" t="s">
        <v>104</v>
      </c>
      <c r="F94" s="13"/>
      <c r="G94" s="13"/>
      <c r="H94" s="15"/>
      <c r="I94" s="15"/>
      <c r="J94" s="56"/>
      <c r="K94" s="56"/>
      <c r="L94" s="56"/>
      <c r="M94" s="56"/>
      <c r="N94" s="22"/>
      <c r="O94" s="61"/>
    </row>
    <row r="95" spans="1:15">
      <c r="A95" s="54">
        <f t="shared" si="9"/>
        <v>94</v>
      </c>
      <c r="B95" s="70" t="s">
        <v>245</v>
      </c>
      <c r="C95" s="18" t="s">
        <v>244</v>
      </c>
      <c r="D95" s="1">
        <v>1</v>
      </c>
      <c r="E95" s="1" t="s">
        <v>104</v>
      </c>
      <c r="F95" s="13"/>
      <c r="G95" s="13"/>
      <c r="H95" s="15"/>
      <c r="I95" s="15"/>
      <c r="J95" s="56"/>
      <c r="K95" s="56"/>
      <c r="L95" s="56"/>
      <c r="M95" s="56"/>
      <c r="N95" s="22"/>
      <c r="O95" s="61"/>
    </row>
    <row r="96" spans="1:15">
      <c r="A96" s="54">
        <f t="shared" si="9"/>
        <v>95</v>
      </c>
      <c r="B96" s="70" t="s">
        <v>247</v>
      </c>
      <c r="C96" s="18" t="s">
        <v>246</v>
      </c>
      <c r="D96" s="1">
        <v>1</v>
      </c>
      <c r="E96" s="1" t="s">
        <v>104</v>
      </c>
      <c r="F96" s="13"/>
      <c r="G96" s="13"/>
      <c r="H96" s="15"/>
      <c r="I96" s="15"/>
      <c r="J96" s="56"/>
      <c r="K96" s="56"/>
      <c r="L96" s="56"/>
      <c r="M96" s="56"/>
      <c r="N96" s="22"/>
      <c r="O96" s="61"/>
    </row>
    <row r="97" spans="1:15">
      <c r="A97" s="54">
        <f t="shared" si="9"/>
        <v>96</v>
      </c>
      <c r="B97" s="70" t="s">
        <v>249</v>
      </c>
      <c r="C97" s="18" t="s">
        <v>483</v>
      </c>
      <c r="D97" s="1">
        <v>1</v>
      </c>
      <c r="E97" s="1" t="s">
        <v>104</v>
      </c>
      <c r="F97" s="13"/>
      <c r="G97" s="13"/>
      <c r="H97" s="15"/>
      <c r="I97" s="15"/>
      <c r="J97" s="56"/>
      <c r="K97" s="56"/>
      <c r="L97" s="56"/>
      <c r="M97" s="56"/>
      <c r="N97" s="22"/>
      <c r="O97" s="61"/>
    </row>
    <row r="98" spans="1:15">
      <c r="A98" s="54">
        <f t="shared" si="9"/>
        <v>97</v>
      </c>
      <c r="B98" s="70" t="s">
        <v>251</v>
      </c>
      <c r="C98" s="18" t="s">
        <v>484</v>
      </c>
      <c r="D98" s="1">
        <v>1</v>
      </c>
      <c r="E98" s="1" t="s">
        <v>104</v>
      </c>
      <c r="F98" s="13"/>
      <c r="G98" s="13"/>
      <c r="H98" s="15"/>
      <c r="I98" s="15"/>
      <c r="J98" s="56"/>
      <c r="K98" s="56"/>
      <c r="L98" s="56"/>
      <c r="M98" s="56"/>
      <c r="N98" s="22"/>
      <c r="O98" s="61"/>
    </row>
    <row r="99" spans="1:15">
      <c r="A99" s="54">
        <f t="shared" si="9"/>
        <v>98</v>
      </c>
      <c r="B99" s="70" t="s">
        <v>253</v>
      </c>
      <c r="C99" s="18" t="s">
        <v>485</v>
      </c>
      <c r="D99" s="1">
        <v>1</v>
      </c>
      <c r="E99" s="1" t="s">
        <v>104</v>
      </c>
      <c r="F99" s="13"/>
      <c r="G99" s="13"/>
      <c r="H99" s="15"/>
      <c r="I99" s="15"/>
      <c r="J99" s="56"/>
      <c r="K99" s="56"/>
      <c r="L99" s="56"/>
      <c r="M99" s="56"/>
      <c r="N99" s="22"/>
      <c r="O99" s="61"/>
    </row>
    <row r="100" spans="1:15">
      <c r="A100" s="54">
        <f t="shared" si="9"/>
        <v>99</v>
      </c>
      <c r="B100" s="70" t="s">
        <v>255</v>
      </c>
      <c r="C100" s="18" t="s">
        <v>486</v>
      </c>
      <c r="D100" s="1">
        <v>1</v>
      </c>
      <c r="E100" s="1" t="s">
        <v>104</v>
      </c>
      <c r="F100" s="13"/>
      <c r="G100" s="13"/>
      <c r="H100" s="15"/>
      <c r="I100" s="15"/>
      <c r="J100" s="56"/>
      <c r="K100" s="56"/>
      <c r="L100" s="56"/>
      <c r="M100" s="56"/>
      <c r="N100" s="22"/>
      <c r="O100" s="61"/>
    </row>
    <row r="101" spans="1:15">
      <c r="A101" s="54">
        <f t="shared" si="9"/>
        <v>100</v>
      </c>
      <c r="B101" s="70" t="s">
        <v>257</v>
      </c>
      <c r="C101" s="18" t="s">
        <v>487</v>
      </c>
      <c r="D101" s="1">
        <v>1</v>
      </c>
      <c r="E101" s="1" t="s">
        <v>104</v>
      </c>
      <c r="F101" s="13"/>
      <c r="G101" s="13"/>
      <c r="H101" s="15"/>
      <c r="I101" s="15"/>
      <c r="J101" s="56"/>
      <c r="K101" s="56"/>
      <c r="L101" s="56"/>
      <c r="M101" s="56"/>
      <c r="N101" s="22"/>
      <c r="O101" s="61"/>
    </row>
    <row r="102" spans="1:15">
      <c r="A102" s="54">
        <f t="shared" si="9"/>
        <v>101</v>
      </c>
      <c r="B102" s="70" t="s">
        <v>259</v>
      </c>
      <c r="C102" s="18" t="s">
        <v>488</v>
      </c>
      <c r="D102" s="1">
        <v>1</v>
      </c>
      <c r="E102" s="1" t="s">
        <v>104</v>
      </c>
      <c r="F102" s="13"/>
      <c r="G102" s="13"/>
      <c r="H102" s="15"/>
      <c r="I102" s="15"/>
      <c r="J102" s="56"/>
      <c r="K102" s="56"/>
      <c r="L102" s="56"/>
      <c r="M102" s="56"/>
      <c r="N102" s="22"/>
      <c r="O102" s="61"/>
    </row>
    <row r="103" spans="1:15">
      <c r="A103" s="54">
        <f t="shared" si="9"/>
        <v>102</v>
      </c>
      <c r="B103" s="70" t="s">
        <v>261</v>
      </c>
      <c r="C103" s="18" t="s">
        <v>489</v>
      </c>
      <c r="D103" s="1">
        <v>1</v>
      </c>
      <c r="E103" s="1" t="s">
        <v>104</v>
      </c>
      <c r="F103" s="13"/>
      <c r="G103" s="13"/>
      <c r="H103" s="15"/>
      <c r="I103" s="15"/>
      <c r="J103" s="56"/>
      <c r="K103" s="56"/>
      <c r="L103" s="56"/>
      <c r="M103" s="56"/>
      <c r="N103" s="22"/>
      <c r="O103" s="61"/>
    </row>
    <row r="104" spans="1:15">
      <c r="A104" s="54">
        <f t="shared" si="9"/>
        <v>103</v>
      </c>
      <c r="B104" s="70" t="s">
        <v>490</v>
      </c>
      <c r="C104" s="18" t="s">
        <v>262</v>
      </c>
      <c r="D104" s="1">
        <v>10</v>
      </c>
      <c r="E104" s="1" t="s">
        <v>104</v>
      </c>
      <c r="F104" s="13"/>
      <c r="G104" s="13"/>
      <c r="H104" s="15"/>
      <c r="I104" s="15"/>
      <c r="J104" s="56"/>
      <c r="K104" s="56"/>
      <c r="L104" s="56"/>
      <c r="M104" s="56"/>
      <c r="N104" s="22"/>
      <c r="O104" s="61"/>
    </row>
    <row r="105" spans="1:15" s="40" customFormat="1">
      <c r="A105" s="37">
        <f t="shared" si="9"/>
        <v>104</v>
      </c>
      <c r="B105" s="69">
        <v>4.3</v>
      </c>
      <c r="C105" s="20" t="s">
        <v>263</v>
      </c>
      <c r="D105" s="35"/>
      <c r="E105" s="35" t="s">
        <v>264</v>
      </c>
      <c r="F105" s="36"/>
      <c r="G105" s="36"/>
      <c r="H105" s="43"/>
      <c r="I105" s="43"/>
      <c r="J105" s="64"/>
      <c r="K105" s="64"/>
      <c r="L105" s="64"/>
      <c r="M105" s="64"/>
      <c r="N105" s="39"/>
      <c r="O105" s="76"/>
    </row>
    <row r="106" spans="1:15">
      <c r="A106" s="54">
        <f t="shared" ref="A106:A114" si="10">IF(C106="","",ROW()-1)</f>
        <v>105</v>
      </c>
      <c r="B106" s="70" t="s">
        <v>265</v>
      </c>
      <c r="C106" s="18" t="s">
        <v>196</v>
      </c>
      <c r="D106" s="1"/>
      <c r="E106" s="1" t="s">
        <v>264</v>
      </c>
      <c r="F106" s="13"/>
      <c r="G106" s="13"/>
      <c r="H106" s="15"/>
      <c r="I106" s="15"/>
      <c r="J106" s="56"/>
      <c r="K106" s="56"/>
      <c r="L106" s="56"/>
      <c r="M106" s="56"/>
      <c r="N106" s="22"/>
      <c r="O106" s="61"/>
    </row>
    <row r="107" spans="1:15">
      <c r="A107" s="54">
        <f t="shared" si="10"/>
        <v>106</v>
      </c>
      <c r="B107" s="70" t="s">
        <v>267</v>
      </c>
      <c r="C107" s="18" t="s">
        <v>199</v>
      </c>
      <c r="D107" s="1"/>
      <c r="E107" s="1" t="s">
        <v>264</v>
      </c>
      <c r="F107" s="13"/>
      <c r="G107" s="13"/>
      <c r="H107" s="15"/>
      <c r="I107" s="15"/>
      <c r="J107" s="56"/>
      <c r="K107" s="56"/>
      <c r="L107" s="56"/>
      <c r="M107" s="56"/>
      <c r="N107" s="22"/>
      <c r="O107" s="61"/>
    </row>
    <row r="108" spans="1:15">
      <c r="A108" s="54">
        <f t="shared" si="10"/>
        <v>107</v>
      </c>
      <c r="B108" s="70" t="s">
        <v>269</v>
      </c>
      <c r="C108" s="18" t="s">
        <v>201</v>
      </c>
      <c r="D108" s="1"/>
      <c r="E108" s="1" t="s">
        <v>264</v>
      </c>
      <c r="F108" s="13"/>
      <c r="G108" s="13"/>
      <c r="H108" s="15"/>
      <c r="I108" s="15"/>
      <c r="J108" s="56"/>
      <c r="K108" s="56"/>
      <c r="L108" s="56"/>
      <c r="M108" s="56"/>
      <c r="N108" s="22"/>
      <c r="O108" s="61"/>
    </row>
    <row r="109" spans="1:15">
      <c r="A109" s="54">
        <f t="shared" si="10"/>
        <v>108</v>
      </c>
      <c r="B109" s="70" t="s">
        <v>271</v>
      </c>
      <c r="C109" s="18" t="s">
        <v>204</v>
      </c>
      <c r="D109" s="1"/>
      <c r="E109" s="1" t="s">
        <v>264</v>
      </c>
      <c r="F109" s="13"/>
      <c r="G109" s="13"/>
      <c r="H109" s="15"/>
      <c r="I109" s="15"/>
      <c r="J109" s="56"/>
      <c r="K109" s="56"/>
      <c r="L109" s="56"/>
      <c r="M109" s="56"/>
      <c r="N109" s="22"/>
      <c r="O109" s="61"/>
    </row>
    <row r="110" spans="1:15">
      <c r="A110" s="54">
        <f t="shared" si="10"/>
        <v>109</v>
      </c>
      <c r="B110" s="70" t="s">
        <v>273</v>
      </c>
      <c r="C110" s="18" t="s">
        <v>207</v>
      </c>
      <c r="D110" s="1"/>
      <c r="E110" s="1" t="s">
        <v>264</v>
      </c>
      <c r="F110" s="13"/>
      <c r="G110" s="13"/>
      <c r="H110" s="15"/>
      <c r="I110" s="15"/>
      <c r="J110" s="56"/>
      <c r="K110" s="56"/>
      <c r="L110" s="56"/>
      <c r="M110" s="56"/>
      <c r="N110" s="22"/>
      <c r="O110" s="61"/>
    </row>
    <row r="111" spans="1:15">
      <c r="A111" s="54">
        <f t="shared" si="10"/>
        <v>110</v>
      </c>
      <c r="B111" s="70" t="s">
        <v>275</v>
      </c>
      <c r="C111" s="18" t="s">
        <v>210</v>
      </c>
      <c r="D111" s="1"/>
      <c r="E111" s="1" t="s">
        <v>264</v>
      </c>
      <c r="F111" s="13"/>
      <c r="G111" s="13"/>
      <c r="H111" s="15"/>
      <c r="I111" s="15"/>
      <c r="J111" s="56"/>
      <c r="K111" s="56"/>
      <c r="L111" s="56"/>
      <c r="M111" s="56"/>
      <c r="N111" s="22"/>
      <c r="O111" s="61"/>
    </row>
    <row r="112" spans="1:15">
      <c r="A112" s="54">
        <f t="shared" si="10"/>
        <v>111</v>
      </c>
      <c r="B112" s="70" t="s">
        <v>277</v>
      </c>
      <c r="C112" s="18" t="s">
        <v>213</v>
      </c>
      <c r="D112" s="1"/>
      <c r="E112" s="1" t="s">
        <v>264</v>
      </c>
      <c r="F112" s="13"/>
      <c r="G112" s="13"/>
      <c r="H112" s="15"/>
      <c r="I112" s="15"/>
      <c r="J112" s="56"/>
      <c r="K112" s="56"/>
      <c r="L112" s="56"/>
      <c r="M112" s="56"/>
      <c r="N112" s="22"/>
      <c r="O112" s="61"/>
    </row>
    <row r="113" spans="1:15">
      <c r="A113" s="54">
        <f t="shared" si="10"/>
        <v>112</v>
      </c>
      <c r="B113" s="70" t="s">
        <v>279</v>
      </c>
      <c r="C113" s="18" t="s">
        <v>216</v>
      </c>
      <c r="D113" s="1"/>
      <c r="E113" s="1" t="s">
        <v>264</v>
      </c>
      <c r="F113" s="13"/>
      <c r="G113" s="13"/>
      <c r="H113" s="15"/>
      <c r="I113" s="15"/>
      <c r="J113" s="56"/>
      <c r="K113" s="56"/>
      <c r="L113" s="56"/>
      <c r="M113" s="56"/>
      <c r="N113" s="22"/>
      <c r="O113" s="61"/>
    </row>
    <row r="114" spans="1:15">
      <c r="A114" s="54">
        <f t="shared" si="10"/>
        <v>113</v>
      </c>
      <c r="B114" s="70" t="s">
        <v>281</v>
      </c>
      <c r="C114" s="18" t="s">
        <v>219</v>
      </c>
      <c r="D114" s="1"/>
      <c r="E114" s="1" t="s">
        <v>264</v>
      </c>
      <c r="F114" s="13"/>
      <c r="G114" s="13"/>
      <c r="H114" s="15"/>
      <c r="I114" s="15"/>
      <c r="J114" s="56"/>
      <c r="K114" s="56"/>
      <c r="L114" s="56"/>
      <c r="M114" s="56"/>
      <c r="N114" s="22"/>
      <c r="O114" s="61"/>
    </row>
    <row r="115" spans="1:15">
      <c r="A115" s="54">
        <f t="shared" si="9"/>
        <v>114</v>
      </c>
      <c r="B115" s="70" t="s">
        <v>283</v>
      </c>
      <c r="C115" s="18" t="s">
        <v>222</v>
      </c>
      <c r="D115" s="1"/>
      <c r="E115" s="1" t="s">
        <v>264</v>
      </c>
      <c r="F115" s="13"/>
      <c r="G115" s="13"/>
      <c r="H115" s="15"/>
      <c r="I115" s="15"/>
      <c r="J115" s="56"/>
      <c r="K115" s="56"/>
      <c r="L115" s="56"/>
      <c r="M115" s="56"/>
      <c r="N115" s="22"/>
      <c r="O115" s="61"/>
    </row>
    <row r="116" spans="1:15">
      <c r="A116" s="54">
        <f t="shared" si="9"/>
        <v>115</v>
      </c>
      <c r="B116" s="70" t="s">
        <v>285</v>
      </c>
      <c r="C116" s="18" t="s">
        <v>225</v>
      </c>
      <c r="D116" s="1"/>
      <c r="E116" s="1" t="s">
        <v>264</v>
      </c>
      <c r="F116" s="13"/>
      <c r="G116" s="13"/>
      <c r="H116" s="15"/>
      <c r="I116" s="15"/>
      <c r="J116" s="56"/>
      <c r="K116" s="56"/>
      <c r="L116" s="56"/>
      <c r="M116" s="56"/>
      <c r="N116" s="22"/>
      <c r="O116" s="61"/>
    </row>
    <row r="117" spans="1:15">
      <c r="A117" s="54">
        <f t="shared" ref="A117" si="11">IF(C117="","",ROW()-1)</f>
        <v>116</v>
      </c>
      <c r="B117" s="70" t="s">
        <v>287</v>
      </c>
      <c r="C117" s="18" t="s">
        <v>479</v>
      </c>
      <c r="D117" s="1"/>
      <c r="E117" s="1" t="s">
        <v>264</v>
      </c>
      <c r="F117" s="13"/>
      <c r="G117" s="13"/>
      <c r="H117" s="15"/>
      <c r="I117" s="15"/>
      <c r="J117" s="56"/>
      <c r="K117" s="56"/>
      <c r="L117" s="56"/>
      <c r="M117" s="56"/>
      <c r="N117" s="22"/>
      <c r="O117" s="61"/>
    </row>
    <row r="118" spans="1:15" s="40" customFormat="1">
      <c r="A118" s="37">
        <f t="shared" ref="A118" si="12">IF(C118="","",ROW()-1)</f>
        <v>117</v>
      </c>
      <c r="B118" s="69" t="s">
        <v>297</v>
      </c>
      <c r="C118" s="83" t="s">
        <v>298</v>
      </c>
      <c r="D118" s="84">
        <v>99</v>
      </c>
      <c r="E118" s="84" t="s">
        <v>75</v>
      </c>
      <c r="F118" s="85">
        <v>46076</v>
      </c>
      <c r="G118" s="85">
        <v>46191</v>
      </c>
      <c r="H118" s="43"/>
      <c r="I118" s="43"/>
      <c r="J118" s="64"/>
      <c r="K118" s="64"/>
      <c r="L118" s="64"/>
      <c r="M118" s="64"/>
      <c r="N118" s="39"/>
      <c r="O118" s="76"/>
    </row>
    <row r="119" spans="1:15">
      <c r="A119" s="10">
        <f t="shared" ref="A119:A124" si="13">IF(C119="","",ROW()-1)</f>
        <v>118</v>
      </c>
      <c r="B119" s="82" t="s">
        <v>299</v>
      </c>
      <c r="C119" s="86" t="s">
        <v>300</v>
      </c>
      <c r="D119" s="87">
        <v>11</v>
      </c>
      <c r="E119" s="87" t="s">
        <v>301</v>
      </c>
      <c r="F119" s="88">
        <v>46076</v>
      </c>
      <c r="G119" s="88">
        <v>46079</v>
      </c>
      <c r="H119" s="15"/>
      <c r="I119" s="15"/>
      <c r="J119" s="56">
        <v>1</v>
      </c>
      <c r="K119" s="56"/>
      <c r="L119" s="56"/>
      <c r="M119" s="56"/>
      <c r="N119" s="22"/>
      <c r="O119" s="61"/>
    </row>
    <row r="120" spans="1:15">
      <c r="A120" s="10">
        <f>IF(C120="","",ROW()-1)</f>
        <v>119</v>
      </c>
      <c r="B120" s="82" t="s">
        <v>303</v>
      </c>
      <c r="C120" s="86" t="s">
        <v>304</v>
      </c>
      <c r="D120" s="87">
        <v>11</v>
      </c>
      <c r="E120" s="87" t="s">
        <v>301</v>
      </c>
      <c r="F120" s="88">
        <v>46083</v>
      </c>
      <c r="G120" s="88">
        <v>46091</v>
      </c>
      <c r="H120" s="15"/>
      <c r="I120" s="15"/>
      <c r="J120" s="56">
        <v>1</v>
      </c>
      <c r="K120" s="56"/>
      <c r="L120" s="56"/>
      <c r="M120" s="56"/>
      <c r="N120" s="22"/>
      <c r="O120" s="61"/>
    </row>
    <row r="121" spans="1:15">
      <c r="A121" s="10">
        <f t="shared" si="13"/>
        <v>120</v>
      </c>
      <c r="B121" s="82" t="s">
        <v>306</v>
      </c>
      <c r="C121" s="86" t="s">
        <v>307</v>
      </c>
      <c r="D121" s="87">
        <v>11</v>
      </c>
      <c r="E121" s="87" t="s">
        <v>301</v>
      </c>
      <c r="F121" s="88">
        <v>46092</v>
      </c>
      <c r="G121" s="88">
        <v>46104</v>
      </c>
      <c r="H121" s="15"/>
      <c r="I121" s="15"/>
      <c r="J121" s="56">
        <v>1</v>
      </c>
      <c r="K121" s="56"/>
      <c r="L121" s="56"/>
      <c r="M121" s="56"/>
      <c r="N121" s="22"/>
      <c r="O121" s="61"/>
    </row>
    <row r="122" spans="1:15">
      <c r="A122" s="10">
        <f>IF(C122="","",ROW()-1)</f>
        <v>121</v>
      </c>
      <c r="B122" s="82" t="s">
        <v>309</v>
      </c>
      <c r="C122" s="86" t="s">
        <v>310</v>
      </c>
      <c r="D122" s="87">
        <v>11</v>
      </c>
      <c r="E122" s="87" t="s">
        <v>301</v>
      </c>
      <c r="F122" s="88">
        <v>46105</v>
      </c>
      <c r="G122" s="88">
        <v>46122</v>
      </c>
      <c r="H122" s="15"/>
      <c r="I122" s="15"/>
      <c r="J122" s="56">
        <v>1</v>
      </c>
      <c r="K122" s="56"/>
      <c r="L122" s="56"/>
      <c r="M122" s="56"/>
      <c r="N122" s="22"/>
      <c r="O122" s="61"/>
    </row>
    <row r="123" spans="1:15">
      <c r="A123" s="10">
        <f>IF(C123="","",ROW()-1)</f>
        <v>122</v>
      </c>
      <c r="B123" s="82" t="s">
        <v>312</v>
      </c>
      <c r="C123" s="89" t="s">
        <v>313</v>
      </c>
      <c r="D123" s="87">
        <v>11</v>
      </c>
      <c r="E123" s="87" t="s">
        <v>301</v>
      </c>
      <c r="F123" s="88">
        <v>46125</v>
      </c>
      <c r="G123" s="88">
        <v>46134</v>
      </c>
      <c r="H123" s="15"/>
      <c r="I123" s="15"/>
      <c r="J123" s="56">
        <v>1</v>
      </c>
      <c r="K123" s="56"/>
      <c r="L123" s="56"/>
      <c r="M123" s="56"/>
      <c r="N123" s="22"/>
      <c r="O123" s="61"/>
    </row>
    <row r="124" spans="1:15">
      <c r="A124" s="10">
        <f t="shared" si="13"/>
        <v>123</v>
      </c>
      <c r="B124" s="82" t="s">
        <v>315</v>
      </c>
      <c r="C124" s="86" t="s">
        <v>316</v>
      </c>
      <c r="D124" s="87">
        <v>11</v>
      </c>
      <c r="E124" s="87" t="s">
        <v>317</v>
      </c>
      <c r="F124" s="88">
        <v>46107</v>
      </c>
      <c r="G124" s="88">
        <v>46122</v>
      </c>
      <c r="H124" s="15"/>
      <c r="I124" s="15"/>
      <c r="J124" s="56">
        <v>1</v>
      </c>
      <c r="K124" s="56"/>
      <c r="L124" s="56"/>
      <c r="M124" s="56"/>
      <c r="N124" s="22"/>
      <c r="O124" s="61"/>
    </row>
    <row r="125" spans="1:15">
      <c r="A125" s="10">
        <f t="shared" ref="A125:A131" si="14">IF(C125="","",ROW()-1)</f>
        <v>124</v>
      </c>
      <c r="B125" s="82" t="s">
        <v>319</v>
      </c>
      <c r="C125" s="86" t="s">
        <v>320</v>
      </c>
      <c r="D125" s="87">
        <v>11</v>
      </c>
      <c r="E125" s="87" t="s">
        <v>301</v>
      </c>
      <c r="F125" s="88">
        <v>46135</v>
      </c>
      <c r="G125" s="88">
        <v>46149</v>
      </c>
      <c r="H125" s="15"/>
      <c r="I125" s="15"/>
      <c r="J125" s="56">
        <v>1</v>
      </c>
      <c r="K125" s="56"/>
      <c r="L125" s="56"/>
      <c r="M125" s="56"/>
      <c r="N125" s="22"/>
      <c r="O125" s="61"/>
    </row>
    <row r="126" spans="1:15">
      <c r="A126" s="10">
        <f t="shared" si="14"/>
        <v>125</v>
      </c>
      <c r="B126" s="82" t="s">
        <v>321</v>
      </c>
      <c r="C126" s="89" t="s">
        <v>322</v>
      </c>
      <c r="D126" s="87">
        <v>11</v>
      </c>
      <c r="E126" s="87" t="s">
        <v>301</v>
      </c>
      <c r="F126" s="88">
        <v>46150</v>
      </c>
      <c r="G126" s="88">
        <v>46156</v>
      </c>
      <c r="H126" s="15"/>
      <c r="I126" s="15"/>
      <c r="J126" s="56">
        <v>1</v>
      </c>
      <c r="K126" s="56"/>
      <c r="L126" s="56"/>
      <c r="M126" s="56"/>
      <c r="N126" s="22"/>
      <c r="O126" s="61"/>
    </row>
    <row r="127" spans="1:15">
      <c r="A127" s="10">
        <f t="shared" si="14"/>
        <v>126</v>
      </c>
      <c r="B127" s="82" t="s">
        <v>323</v>
      </c>
      <c r="C127" s="89" t="s">
        <v>324</v>
      </c>
      <c r="D127" s="87">
        <v>11</v>
      </c>
      <c r="E127" s="87" t="s">
        <v>301</v>
      </c>
      <c r="F127" s="88">
        <v>46157</v>
      </c>
      <c r="G127" s="88">
        <v>46163</v>
      </c>
      <c r="H127" s="15"/>
      <c r="I127" s="15"/>
      <c r="J127" s="56"/>
      <c r="K127" s="56"/>
      <c r="L127" s="56"/>
      <c r="M127" s="56"/>
      <c r="N127" s="22"/>
      <c r="O127" s="61"/>
    </row>
    <row r="128" spans="1:15">
      <c r="A128" s="77">
        <f>IF(C128="","",ROW()-1)</f>
        <v>127</v>
      </c>
      <c r="B128" s="82" t="s">
        <v>326</v>
      </c>
      <c r="C128" s="89" t="s">
        <v>327</v>
      </c>
      <c r="D128" s="87">
        <v>11</v>
      </c>
      <c r="E128" s="87" t="s">
        <v>301</v>
      </c>
      <c r="F128" s="13">
        <v>46164</v>
      </c>
      <c r="G128" s="13">
        <v>46170</v>
      </c>
      <c r="H128" s="15"/>
      <c r="I128" s="15"/>
      <c r="J128" s="56"/>
      <c r="K128" s="56"/>
      <c r="L128" s="56"/>
      <c r="M128" s="56"/>
      <c r="N128" s="22"/>
      <c r="O128" s="61"/>
    </row>
    <row r="129" spans="1:15">
      <c r="A129" s="10">
        <f t="shared" si="14"/>
        <v>128</v>
      </c>
      <c r="B129" s="82" t="s">
        <v>328</v>
      </c>
      <c r="C129" s="86" t="s">
        <v>329</v>
      </c>
      <c r="D129" s="87">
        <v>11</v>
      </c>
      <c r="E129" s="87" t="s">
        <v>317</v>
      </c>
      <c r="F129" s="88">
        <v>46123</v>
      </c>
      <c r="G129" s="88">
        <v>46141</v>
      </c>
      <c r="H129" s="15"/>
      <c r="I129" s="15"/>
      <c r="J129" s="56">
        <v>1</v>
      </c>
      <c r="K129" s="56"/>
      <c r="L129" s="56"/>
      <c r="M129" s="56"/>
      <c r="N129" s="22"/>
      <c r="O129" s="61"/>
    </row>
    <row r="130" spans="1:15" hidden="1">
      <c r="A130" s="54">
        <f t="shared" si="14"/>
        <v>129</v>
      </c>
      <c r="B130" s="82" t="s">
        <v>331</v>
      </c>
      <c r="C130" s="86" t="s">
        <v>332</v>
      </c>
      <c r="D130" s="87">
        <v>11</v>
      </c>
      <c r="E130" s="87" t="s">
        <v>41</v>
      </c>
      <c r="F130" s="88">
        <v>46146</v>
      </c>
      <c r="G130" s="88">
        <v>46164</v>
      </c>
      <c r="H130" s="15"/>
      <c r="I130" s="15"/>
      <c r="J130" s="56"/>
      <c r="K130" s="56">
        <v>1</v>
      </c>
      <c r="L130" s="56"/>
      <c r="M130" s="56"/>
      <c r="N130" s="22"/>
      <c r="O130" s="61"/>
    </row>
    <row r="131" spans="1:15">
      <c r="A131" s="54">
        <f t="shared" si="14"/>
        <v>130</v>
      </c>
      <c r="B131" s="82" t="s">
        <v>334</v>
      </c>
      <c r="C131" s="86" t="s">
        <v>335</v>
      </c>
      <c r="D131" s="87">
        <v>11</v>
      </c>
      <c r="E131" s="87" t="s">
        <v>317</v>
      </c>
      <c r="F131" s="88">
        <v>46142</v>
      </c>
      <c r="G131" s="88">
        <v>46157</v>
      </c>
      <c r="H131" s="15"/>
      <c r="I131" s="15"/>
      <c r="J131" s="56"/>
      <c r="K131" s="56"/>
      <c r="L131" s="56"/>
      <c r="M131" s="56"/>
      <c r="N131" s="22"/>
      <c r="O131" s="61"/>
    </row>
    <row r="132" spans="1:15">
      <c r="A132" s="54">
        <f t="shared" ref="A132" si="15">IF(C132="","",ROW()-1)</f>
        <v>131</v>
      </c>
      <c r="B132" s="82" t="s">
        <v>337</v>
      </c>
      <c r="C132" s="86" t="s">
        <v>338</v>
      </c>
      <c r="D132" s="87">
        <v>11</v>
      </c>
      <c r="E132" s="87" t="s">
        <v>317</v>
      </c>
      <c r="F132" s="88">
        <v>46158</v>
      </c>
      <c r="G132" s="88">
        <v>46170</v>
      </c>
      <c r="H132" s="15"/>
      <c r="I132" s="15"/>
      <c r="J132" s="56"/>
      <c r="K132" s="56"/>
      <c r="L132" s="56"/>
      <c r="M132" s="56"/>
      <c r="N132" s="22"/>
      <c r="O132" s="61"/>
    </row>
    <row r="133" spans="1:15" s="40" customFormat="1">
      <c r="A133" s="37">
        <f t="shared" ref="A133:A147" si="16">IF(C133="","",ROW()-1)</f>
        <v>132</v>
      </c>
      <c r="B133" s="69">
        <v>4.5</v>
      </c>
      <c r="C133" s="83" t="s">
        <v>340</v>
      </c>
      <c r="D133" s="84">
        <v>45</v>
      </c>
      <c r="E133" s="84" t="s">
        <v>264</v>
      </c>
      <c r="F133" s="85">
        <v>46092</v>
      </c>
      <c r="G133" s="85">
        <v>46225</v>
      </c>
      <c r="H133" s="43"/>
      <c r="I133" s="43"/>
      <c r="J133" s="64"/>
      <c r="K133" s="64"/>
      <c r="L133" s="64"/>
      <c r="M133" s="64"/>
      <c r="N133" s="39"/>
      <c r="O133" s="76"/>
    </row>
    <row r="134" spans="1:15">
      <c r="A134" s="54">
        <f t="shared" si="16"/>
        <v>133</v>
      </c>
      <c r="B134" s="82" t="s">
        <v>342</v>
      </c>
      <c r="C134" s="86" t="s">
        <v>300</v>
      </c>
      <c r="D134" s="87">
        <v>5</v>
      </c>
      <c r="E134" s="87" t="s">
        <v>343</v>
      </c>
      <c r="F134" s="88">
        <v>46092</v>
      </c>
      <c r="G134" s="88">
        <v>46098</v>
      </c>
      <c r="H134" s="15"/>
      <c r="I134" s="15"/>
      <c r="J134" s="56"/>
      <c r="K134" s="56"/>
      <c r="L134" s="56"/>
      <c r="M134" s="56"/>
      <c r="N134" s="22"/>
      <c r="O134" s="61"/>
    </row>
    <row r="135" spans="1:15">
      <c r="A135" s="54">
        <f>IF(C135="","",ROW()-1)</f>
        <v>134</v>
      </c>
      <c r="B135" s="82" t="s">
        <v>344</v>
      </c>
      <c r="C135" s="86" t="s">
        <v>345</v>
      </c>
      <c r="D135" s="87">
        <v>5</v>
      </c>
      <c r="E135" s="87" t="s">
        <v>343</v>
      </c>
      <c r="F135" s="88"/>
      <c r="G135" s="88"/>
      <c r="H135" s="15"/>
      <c r="I135" s="15"/>
      <c r="J135" s="56"/>
      <c r="K135" s="56"/>
      <c r="L135" s="56"/>
      <c r="M135" s="56"/>
      <c r="N135" s="22"/>
      <c r="O135" s="61"/>
    </row>
    <row r="136" spans="1:15">
      <c r="A136" s="54">
        <f t="shared" si="16"/>
        <v>135</v>
      </c>
      <c r="B136" s="82" t="s">
        <v>346</v>
      </c>
      <c r="C136" s="86" t="s">
        <v>307</v>
      </c>
      <c r="D136" s="87">
        <v>5</v>
      </c>
      <c r="E136" s="87" t="s">
        <v>343</v>
      </c>
      <c r="F136" s="88">
        <v>46107</v>
      </c>
      <c r="G136" s="88">
        <v>46113</v>
      </c>
      <c r="H136" s="15"/>
      <c r="I136" s="15"/>
      <c r="J136" s="56"/>
      <c r="K136" s="56"/>
      <c r="L136" s="56"/>
      <c r="M136" s="56"/>
      <c r="N136" s="22"/>
      <c r="O136" s="61"/>
    </row>
    <row r="137" spans="1:15">
      <c r="A137" s="54">
        <f t="shared" si="16"/>
        <v>136</v>
      </c>
      <c r="B137" s="82" t="s">
        <v>347</v>
      </c>
      <c r="C137" s="86" t="s">
        <v>310</v>
      </c>
      <c r="D137" s="87">
        <v>5</v>
      </c>
      <c r="E137" s="87" t="s">
        <v>343</v>
      </c>
      <c r="F137" s="88">
        <v>46123</v>
      </c>
      <c r="G137" s="88">
        <v>46128</v>
      </c>
      <c r="H137" s="15"/>
      <c r="I137" s="15"/>
      <c r="J137" s="56"/>
      <c r="K137" s="56"/>
      <c r="L137" s="56"/>
      <c r="M137" s="56"/>
      <c r="N137" s="22"/>
      <c r="O137" s="61"/>
    </row>
    <row r="138" spans="1:15">
      <c r="A138" s="54">
        <f>IF(C138="","",ROW()-1)</f>
        <v>137</v>
      </c>
      <c r="B138" s="82" t="s">
        <v>348</v>
      </c>
      <c r="C138" s="86" t="s">
        <v>313</v>
      </c>
      <c r="D138" s="87">
        <v>5</v>
      </c>
      <c r="E138" s="87" t="s">
        <v>343</v>
      </c>
      <c r="F138" s="88"/>
      <c r="G138" s="88"/>
      <c r="H138" s="15"/>
      <c r="I138" s="15"/>
      <c r="J138" s="56"/>
      <c r="K138" s="56"/>
      <c r="L138" s="56"/>
      <c r="M138" s="56"/>
      <c r="N138" s="22"/>
      <c r="O138" s="61"/>
    </row>
    <row r="139" spans="1:15">
      <c r="A139" s="54">
        <f t="shared" si="16"/>
        <v>138</v>
      </c>
      <c r="B139" s="82" t="s">
        <v>349</v>
      </c>
      <c r="C139" s="86" t="s">
        <v>316</v>
      </c>
      <c r="D139" s="87">
        <v>5</v>
      </c>
      <c r="E139" s="87" t="s">
        <v>343</v>
      </c>
      <c r="F139" s="88">
        <v>46140</v>
      </c>
      <c r="G139" s="88">
        <v>46147</v>
      </c>
      <c r="H139" s="15"/>
      <c r="I139" s="15"/>
      <c r="J139" s="56"/>
      <c r="K139" s="56"/>
      <c r="L139" s="56"/>
      <c r="M139" s="56"/>
      <c r="N139" s="22"/>
      <c r="O139" s="61"/>
    </row>
    <row r="140" spans="1:15">
      <c r="A140" s="54">
        <f t="shared" si="16"/>
        <v>139</v>
      </c>
      <c r="B140" s="82" t="s">
        <v>350</v>
      </c>
      <c r="C140" s="86" t="s">
        <v>320</v>
      </c>
      <c r="D140" s="87">
        <v>5</v>
      </c>
      <c r="E140" s="87" t="s">
        <v>343</v>
      </c>
      <c r="F140" s="88">
        <v>46156</v>
      </c>
      <c r="G140" s="88">
        <v>46162</v>
      </c>
      <c r="H140" s="15"/>
      <c r="I140" s="15"/>
      <c r="J140" s="56"/>
      <c r="K140" s="56"/>
      <c r="L140" s="56"/>
      <c r="M140" s="56"/>
      <c r="N140" s="22"/>
      <c r="O140" s="61"/>
    </row>
    <row r="141" spans="1:15">
      <c r="A141" s="54">
        <f>IF(C141="","",ROW()-1)</f>
        <v>140</v>
      </c>
      <c r="B141" s="82" t="s">
        <v>351</v>
      </c>
      <c r="C141" s="86" t="s">
        <v>322</v>
      </c>
      <c r="D141" s="87">
        <v>5</v>
      </c>
      <c r="E141" s="87" t="s">
        <v>343</v>
      </c>
      <c r="F141" s="88"/>
      <c r="G141" s="88"/>
      <c r="H141" s="15"/>
      <c r="I141" s="15"/>
      <c r="J141" s="56"/>
      <c r="K141" s="56"/>
      <c r="L141" s="56"/>
      <c r="M141" s="56"/>
      <c r="N141" s="22"/>
      <c r="O141" s="61"/>
    </row>
    <row r="142" spans="1:15">
      <c r="A142" s="54">
        <f>IF(C142="","",ROW()-1)</f>
        <v>141</v>
      </c>
      <c r="B142" s="82" t="s">
        <v>352</v>
      </c>
      <c r="C142" s="86" t="s">
        <v>324</v>
      </c>
      <c r="D142" s="87">
        <v>5</v>
      </c>
      <c r="E142" s="87" t="s">
        <v>343</v>
      </c>
      <c r="F142" s="88"/>
      <c r="G142" s="88"/>
      <c r="H142" s="15"/>
      <c r="I142" s="15"/>
      <c r="J142" s="56"/>
      <c r="K142" s="56"/>
      <c r="L142" s="56"/>
      <c r="M142" s="56"/>
      <c r="N142" s="22"/>
      <c r="O142" s="61"/>
    </row>
    <row r="143" spans="1:15">
      <c r="A143" s="54">
        <f>IF(C143="","",ROW()-1)</f>
        <v>142</v>
      </c>
      <c r="B143" s="82" t="s">
        <v>353</v>
      </c>
      <c r="C143" s="86" t="s">
        <v>327</v>
      </c>
      <c r="D143" s="87">
        <v>5</v>
      </c>
      <c r="E143" s="87" t="s">
        <v>343</v>
      </c>
      <c r="F143" s="88"/>
      <c r="G143" s="88"/>
      <c r="H143" s="15"/>
      <c r="I143" s="15"/>
      <c r="J143" s="56"/>
      <c r="K143" s="56"/>
      <c r="L143" s="56"/>
      <c r="M143" s="56"/>
      <c r="N143" s="22"/>
      <c r="O143" s="61"/>
    </row>
    <row r="144" spans="1:15">
      <c r="A144" s="54">
        <f t="shared" si="16"/>
        <v>143</v>
      </c>
      <c r="B144" s="82" t="s">
        <v>354</v>
      </c>
      <c r="C144" s="86" t="s">
        <v>329</v>
      </c>
      <c r="D144" s="87">
        <v>5</v>
      </c>
      <c r="E144" s="87" t="s">
        <v>343</v>
      </c>
      <c r="F144" s="88">
        <v>46186</v>
      </c>
      <c r="G144" s="88">
        <v>46191</v>
      </c>
      <c r="H144" s="15"/>
      <c r="I144" s="15"/>
      <c r="J144" s="56"/>
      <c r="K144" s="56"/>
      <c r="L144" s="56"/>
      <c r="M144" s="56"/>
      <c r="N144" s="22"/>
      <c r="O144" s="61"/>
    </row>
    <row r="145" spans="1:15">
      <c r="A145" s="54">
        <f t="shared" si="16"/>
        <v>144</v>
      </c>
      <c r="B145" s="82" t="s">
        <v>355</v>
      </c>
      <c r="C145" s="86" t="s">
        <v>332</v>
      </c>
      <c r="D145" s="87">
        <v>5</v>
      </c>
      <c r="E145" s="87" t="s">
        <v>343</v>
      </c>
      <c r="F145" s="88">
        <v>46204</v>
      </c>
      <c r="G145" s="88">
        <v>46210</v>
      </c>
      <c r="H145" s="15"/>
      <c r="I145" s="15"/>
      <c r="J145" s="56"/>
      <c r="K145" s="56"/>
      <c r="L145" s="56"/>
      <c r="M145" s="56"/>
      <c r="N145" s="22"/>
      <c r="O145" s="61"/>
    </row>
    <row r="146" spans="1:15">
      <c r="A146" s="77">
        <f>IF(C146="","",ROW()-1)</f>
        <v>145</v>
      </c>
      <c r="B146" s="82" t="s">
        <v>356</v>
      </c>
      <c r="C146" s="86" t="s">
        <v>335</v>
      </c>
      <c r="D146" s="1"/>
      <c r="E146" s="1"/>
      <c r="F146" s="13"/>
      <c r="G146" s="13"/>
      <c r="H146" s="15"/>
      <c r="I146" s="15"/>
      <c r="J146" s="56"/>
      <c r="K146" s="56"/>
      <c r="L146" s="56"/>
      <c r="M146" s="56"/>
      <c r="N146" s="22"/>
      <c r="O146" s="61"/>
    </row>
    <row r="147" spans="1:15">
      <c r="A147" s="54">
        <f t="shared" si="16"/>
        <v>146</v>
      </c>
      <c r="B147" s="82" t="s">
        <v>357</v>
      </c>
      <c r="C147" s="86" t="s">
        <v>338</v>
      </c>
      <c r="D147" s="87">
        <v>5</v>
      </c>
      <c r="E147" s="87" t="s">
        <v>343</v>
      </c>
      <c r="F147" s="88">
        <v>46219</v>
      </c>
      <c r="G147" s="88">
        <v>46225</v>
      </c>
      <c r="H147" s="15"/>
      <c r="I147" s="15"/>
      <c r="J147" s="56"/>
      <c r="K147" s="56"/>
      <c r="L147" s="56"/>
      <c r="M147" s="56"/>
      <c r="N147" s="22"/>
      <c r="O147" s="61"/>
    </row>
    <row r="148" spans="1:15">
      <c r="A148" s="54">
        <f t="shared" ref="A148:A153" si="17">IF(C148="","",ROW()-1)</f>
        <v>147</v>
      </c>
      <c r="B148" s="82" t="s">
        <v>358</v>
      </c>
      <c r="C148" s="86" t="s">
        <v>359</v>
      </c>
      <c r="D148" s="87">
        <v>18</v>
      </c>
      <c r="E148" s="87" t="s">
        <v>139</v>
      </c>
      <c r="F148" s="88">
        <v>46099</v>
      </c>
      <c r="G148" s="88">
        <v>46232</v>
      </c>
      <c r="H148" s="15"/>
      <c r="I148" s="15"/>
      <c r="J148" s="56"/>
      <c r="K148" s="56"/>
      <c r="L148" s="56"/>
      <c r="M148" s="56"/>
      <c r="N148" s="22"/>
      <c r="O148" s="61"/>
    </row>
    <row r="149" spans="1:15">
      <c r="A149" s="77" t="str">
        <f t="shared" si="17"/>
        <v/>
      </c>
      <c r="B149" s="70"/>
      <c r="C149" s="18"/>
      <c r="D149" s="1"/>
      <c r="E149" s="1"/>
      <c r="F149" s="13"/>
      <c r="G149" s="13"/>
      <c r="H149" s="15"/>
      <c r="I149" s="15"/>
      <c r="J149" s="56"/>
      <c r="K149" s="56"/>
      <c r="L149" s="56"/>
      <c r="M149" s="56"/>
      <c r="N149" s="22"/>
      <c r="O149" s="61"/>
    </row>
    <row r="150" spans="1:15">
      <c r="A150" s="77" t="str">
        <f t="shared" si="17"/>
        <v/>
      </c>
      <c r="B150" s="70"/>
      <c r="C150" s="18"/>
      <c r="D150" s="1"/>
      <c r="E150" s="1"/>
      <c r="F150" s="13"/>
      <c r="G150" s="13"/>
      <c r="H150" s="15"/>
      <c r="I150" s="15"/>
      <c r="J150" s="56"/>
      <c r="K150" s="56"/>
      <c r="L150" s="56"/>
      <c r="M150" s="56"/>
      <c r="N150" s="22"/>
      <c r="O150" s="61"/>
    </row>
    <row r="151" spans="1:15">
      <c r="A151" s="77" t="str">
        <f t="shared" si="17"/>
        <v/>
      </c>
      <c r="B151" s="70"/>
      <c r="C151" s="18"/>
      <c r="D151" s="1"/>
      <c r="E151" s="1"/>
      <c r="F151" s="13"/>
      <c r="G151" s="13"/>
      <c r="H151" s="15"/>
      <c r="I151" s="15"/>
      <c r="J151" s="56"/>
      <c r="K151" s="56"/>
      <c r="L151" s="56"/>
      <c r="M151" s="56"/>
      <c r="N151" s="22"/>
      <c r="O151" s="61"/>
    </row>
    <row r="152" spans="1:15">
      <c r="A152" s="77" t="str">
        <f t="shared" si="17"/>
        <v/>
      </c>
      <c r="B152" s="70"/>
      <c r="C152" s="18"/>
      <c r="D152" s="1"/>
      <c r="E152" s="1"/>
      <c r="F152" s="13"/>
      <c r="G152" s="13"/>
      <c r="H152" s="15"/>
      <c r="I152" s="15"/>
      <c r="J152" s="56"/>
      <c r="K152" s="56"/>
      <c r="L152" s="56"/>
      <c r="M152" s="56"/>
      <c r="N152" s="22"/>
      <c r="O152" s="61"/>
    </row>
    <row r="153" spans="1:15">
      <c r="A153" s="77" t="str">
        <f t="shared" si="17"/>
        <v/>
      </c>
      <c r="B153" s="70"/>
      <c r="C153" s="18"/>
      <c r="D153" s="1"/>
      <c r="E153" s="1"/>
      <c r="F153" s="13"/>
      <c r="G153" s="13"/>
      <c r="H153" s="15"/>
      <c r="I153" s="15"/>
      <c r="J153" s="56"/>
      <c r="K153" s="56"/>
      <c r="L153" s="56"/>
      <c r="M153" s="56"/>
      <c r="N153" s="22"/>
      <c r="O153" s="61"/>
    </row>
    <row r="154" spans="1:15">
      <c r="A154" s="54">
        <f t="shared" si="0"/>
        <v>153</v>
      </c>
      <c r="B154" s="70">
        <v>4.5999999999999996</v>
      </c>
      <c r="C154" s="18" t="s">
        <v>491</v>
      </c>
      <c r="D154" s="1"/>
      <c r="E154" s="1"/>
      <c r="F154" s="13"/>
      <c r="G154" s="13"/>
      <c r="H154" s="15"/>
      <c r="I154" s="15"/>
      <c r="J154" s="56"/>
      <c r="K154" s="56"/>
      <c r="L154" s="56"/>
      <c r="M154" s="56"/>
      <c r="N154" s="22"/>
      <c r="O154" s="61"/>
    </row>
    <row r="155" spans="1:15">
      <c r="A155" s="54" t="str">
        <f t="shared" si="0"/>
        <v/>
      </c>
      <c r="B155" s="70" t="s">
        <v>195</v>
      </c>
      <c r="C155" s="18"/>
      <c r="D155" s="1">
        <v>0.5</v>
      </c>
      <c r="E155" s="1" t="s">
        <v>492</v>
      </c>
      <c r="F155" s="13"/>
      <c r="G155" s="13"/>
      <c r="H155" s="15"/>
      <c r="I155" s="15"/>
      <c r="J155" s="56"/>
      <c r="K155" s="56"/>
      <c r="L155" s="56"/>
      <c r="M155" s="56"/>
      <c r="N155" s="22"/>
      <c r="O155" s="61"/>
    </row>
    <row r="156" spans="1:15">
      <c r="A156" s="54" t="str">
        <f t="shared" si="0"/>
        <v/>
      </c>
      <c r="B156" s="70" t="s">
        <v>493</v>
      </c>
      <c r="C156" s="18"/>
      <c r="D156" s="1">
        <v>4</v>
      </c>
      <c r="E156" s="1" t="s">
        <v>494</v>
      </c>
      <c r="F156" s="13"/>
      <c r="G156" s="13"/>
      <c r="H156" s="15"/>
      <c r="I156" s="15"/>
      <c r="J156" s="56"/>
      <c r="K156" s="56"/>
      <c r="L156" s="56"/>
      <c r="M156" s="56"/>
      <c r="N156" s="22"/>
      <c r="O156" s="61"/>
    </row>
    <row r="157" spans="1:15">
      <c r="A157" s="54">
        <f>IF(C157="","",ROW()-1)</f>
        <v>156</v>
      </c>
      <c r="B157" s="70" t="s">
        <v>235</v>
      </c>
      <c r="C157" s="18" t="s">
        <v>495</v>
      </c>
      <c r="D157" s="1"/>
      <c r="E157" s="1" t="s">
        <v>496</v>
      </c>
      <c r="F157" s="13"/>
      <c r="G157" s="13"/>
      <c r="H157" s="15"/>
      <c r="I157" s="15"/>
      <c r="J157" s="56"/>
      <c r="K157" s="56"/>
      <c r="L157" s="56"/>
      <c r="M157" s="56"/>
      <c r="N157" s="22"/>
      <c r="O157" s="61"/>
    </row>
    <row r="158" spans="1:15">
      <c r="A158" s="54">
        <f>IF(C158="","",ROW()-1)</f>
        <v>157</v>
      </c>
      <c r="B158" s="70" t="s">
        <v>237</v>
      </c>
      <c r="C158" s="18" t="s">
        <v>497</v>
      </c>
      <c r="D158" s="1"/>
      <c r="E158" s="1" t="s">
        <v>498</v>
      </c>
      <c r="F158" s="13"/>
      <c r="G158" s="13"/>
      <c r="H158" s="15"/>
      <c r="I158" s="15"/>
      <c r="J158" s="56"/>
      <c r="K158" s="56"/>
      <c r="L158" s="56"/>
      <c r="M158" s="56"/>
      <c r="N158" s="22"/>
      <c r="O158" s="61"/>
    </row>
    <row r="159" spans="1:15">
      <c r="A159" s="54" t="str">
        <f t="shared" si="0"/>
        <v/>
      </c>
      <c r="B159" s="70" t="s">
        <v>499</v>
      </c>
      <c r="C159" s="18"/>
      <c r="D159" s="1">
        <v>0.5</v>
      </c>
      <c r="E159" s="1" t="s">
        <v>492</v>
      </c>
      <c r="F159" s="13"/>
      <c r="G159" s="13"/>
      <c r="H159" s="15"/>
      <c r="I159" s="15"/>
      <c r="J159" s="56"/>
      <c r="K159" s="56"/>
      <c r="L159" s="56"/>
      <c r="M159" s="56"/>
      <c r="N159" s="22"/>
      <c r="O159" s="61"/>
    </row>
    <row r="160" spans="1:15">
      <c r="A160" s="54" t="str">
        <f t="shared" si="0"/>
        <v/>
      </c>
      <c r="B160" s="70" t="s">
        <v>500</v>
      </c>
      <c r="C160" s="18"/>
      <c r="D160" s="1">
        <v>4</v>
      </c>
      <c r="E160" s="1" t="s">
        <v>494</v>
      </c>
      <c r="F160" s="13"/>
      <c r="G160" s="13"/>
      <c r="H160" s="15"/>
      <c r="I160" s="15"/>
      <c r="J160" s="56"/>
      <c r="K160" s="56"/>
      <c r="L160" s="56"/>
      <c r="M160" s="56"/>
      <c r="N160" s="22"/>
      <c r="O160" s="61"/>
    </row>
    <row r="161" spans="1:15">
      <c r="A161" s="54" t="str">
        <f t="shared" si="0"/>
        <v/>
      </c>
      <c r="B161" s="70" t="s">
        <v>501</v>
      </c>
      <c r="C161" s="18"/>
      <c r="D161" s="1">
        <v>1</v>
      </c>
      <c r="E161" s="1" t="s">
        <v>502</v>
      </c>
      <c r="F161" s="13"/>
      <c r="G161" s="13"/>
      <c r="H161" s="15"/>
      <c r="I161" s="15"/>
      <c r="J161" s="56"/>
      <c r="K161" s="56"/>
      <c r="L161" s="56"/>
      <c r="M161" s="56"/>
      <c r="N161" s="22"/>
      <c r="O161" s="61"/>
    </row>
    <row r="162" spans="1:15">
      <c r="A162" s="54" t="str">
        <f t="shared" si="0"/>
        <v/>
      </c>
      <c r="B162" s="70" t="s">
        <v>503</v>
      </c>
      <c r="C162" s="18"/>
      <c r="D162" s="1">
        <v>1</v>
      </c>
      <c r="E162" s="1" t="s">
        <v>502</v>
      </c>
      <c r="F162" s="13"/>
      <c r="G162" s="13"/>
      <c r="H162" s="15"/>
      <c r="I162" s="15"/>
      <c r="J162" s="56"/>
      <c r="K162" s="56"/>
      <c r="L162" s="56"/>
      <c r="M162" s="56"/>
      <c r="N162" s="22"/>
      <c r="O162" s="61"/>
    </row>
    <row r="163" spans="1:15">
      <c r="A163" s="54">
        <f t="shared" si="0"/>
        <v>162</v>
      </c>
      <c r="B163" s="70">
        <v>5</v>
      </c>
      <c r="C163" s="18" t="s">
        <v>390</v>
      </c>
      <c r="D163" s="1">
        <v>0.5</v>
      </c>
      <c r="E163" s="1" t="s">
        <v>504</v>
      </c>
      <c r="F163" s="13"/>
      <c r="G163" s="13"/>
      <c r="H163" s="15"/>
      <c r="I163" s="15"/>
      <c r="J163" s="56"/>
      <c r="K163" s="56"/>
      <c r="L163" s="56"/>
      <c r="M163" s="56"/>
      <c r="N163" s="22"/>
      <c r="O163" s="61"/>
    </row>
    <row r="164" spans="1:15">
      <c r="A164" s="54">
        <f t="shared" si="0"/>
        <v>163</v>
      </c>
      <c r="B164" s="70">
        <v>6</v>
      </c>
      <c r="C164" s="18" t="s">
        <v>392</v>
      </c>
      <c r="D164" s="1">
        <v>1</v>
      </c>
      <c r="E164" s="1" t="s">
        <v>502</v>
      </c>
      <c r="F164" s="13"/>
      <c r="G164" s="13"/>
      <c r="H164" s="15"/>
      <c r="I164" s="15"/>
      <c r="J164" s="56"/>
      <c r="K164" s="56"/>
      <c r="L164" s="56"/>
      <c r="M164" s="56"/>
      <c r="N164" s="22"/>
      <c r="O164" s="61"/>
    </row>
    <row r="165" spans="1:15">
      <c r="A165" s="54">
        <f t="shared" si="0"/>
        <v>164</v>
      </c>
      <c r="B165" s="70">
        <v>7</v>
      </c>
      <c r="C165" s="18" t="s">
        <v>394</v>
      </c>
      <c r="D165" s="1">
        <v>0.5</v>
      </c>
      <c r="E165" s="1" t="s">
        <v>505</v>
      </c>
      <c r="F165" s="13"/>
      <c r="G165" s="13"/>
      <c r="H165" s="15"/>
      <c r="I165" s="15"/>
      <c r="J165" s="56"/>
      <c r="K165" s="56"/>
      <c r="L165" s="56"/>
      <c r="M165" s="56"/>
      <c r="N165" s="22"/>
      <c r="O165" s="61"/>
    </row>
    <row r="166" spans="1:15">
      <c r="A166" s="37">
        <f t="shared" si="0"/>
        <v>165</v>
      </c>
      <c r="B166" s="71">
        <v>8</v>
      </c>
      <c r="C166" s="20" t="s">
        <v>395</v>
      </c>
      <c r="D166" s="1">
        <v>1</v>
      </c>
      <c r="E166" s="1" t="s">
        <v>164</v>
      </c>
      <c r="F166" s="13"/>
      <c r="G166" s="13"/>
      <c r="H166" s="13"/>
      <c r="I166" s="13"/>
      <c r="J166" s="56"/>
      <c r="K166" s="56"/>
      <c r="L166" s="56"/>
      <c r="M166" s="56"/>
      <c r="N166" s="22"/>
      <c r="O166" s="42"/>
    </row>
    <row r="167" spans="1:15">
      <c r="A167" s="37" t="str">
        <f t="shared" si="0"/>
        <v/>
      </c>
      <c r="B167" s="71"/>
      <c r="C167" s="18"/>
      <c r="D167" s="1"/>
      <c r="E167" s="1"/>
      <c r="F167" s="13"/>
      <c r="G167" s="13"/>
      <c r="H167" s="13"/>
      <c r="I167" s="13"/>
      <c r="J167" s="56"/>
      <c r="K167" s="56"/>
      <c r="L167" s="56"/>
      <c r="M167" s="56"/>
      <c r="N167" s="22"/>
      <c r="O167" s="42"/>
    </row>
    <row r="168" spans="1:15">
      <c r="A168" s="37" t="str">
        <f t="shared" si="0"/>
        <v/>
      </c>
      <c r="B168" s="71"/>
      <c r="C168" s="18"/>
      <c r="D168" s="1"/>
      <c r="E168" s="1"/>
      <c r="F168" s="13"/>
      <c r="G168" s="13"/>
      <c r="H168" s="15"/>
      <c r="I168" s="15"/>
      <c r="J168" s="56"/>
      <c r="K168" s="56"/>
      <c r="L168" s="56"/>
      <c r="M168" s="56"/>
      <c r="N168" s="22"/>
      <c r="O168" s="42"/>
    </row>
    <row r="169" spans="1:15">
      <c r="A169" s="37" t="str">
        <f t="shared" si="0"/>
        <v/>
      </c>
      <c r="B169" s="71"/>
      <c r="C169" s="18"/>
      <c r="D169" s="1"/>
      <c r="E169" s="1"/>
      <c r="F169" s="13"/>
      <c r="G169" s="13"/>
      <c r="H169" s="15"/>
      <c r="I169" s="15"/>
      <c r="J169" s="56"/>
      <c r="K169" s="56"/>
      <c r="L169" s="56"/>
      <c r="M169" s="56"/>
      <c r="N169" s="22"/>
      <c r="O169" s="42"/>
    </row>
    <row r="170" spans="1:15">
      <c r="A170" s="37" t="str">
        <f t="shared" si="0"/>
        <v/>
      </c>
      <c r="B170" s="72"/>
      <c r="C170" s="18"/>
      <c r="D170" s="1"/>
      <c r="E170" s="1"/>
      <c r="F170" s="13"/>
      <c r="G170" s="13"/>
      <c r="H170" s="15"/>
      <c r="I170" s="15"/>
      <c r="J170" s="56"/>
      <c r="K170" s="56"/>
      <c r="L170" s="56"/>
      <c r="M170" s="56"/>
      <c r="N170" s="22"/>
      <c r="O170" s="42"/>
    </row>
    <row r="171" spans="1:15">
      <c r="A171" s="37" t="str">
        <f t="shared" si="0"/>
        <v/>
      </c>
      <c r="B171" s="72"/>
      <c r="C171" s="18"/>
      <c r="D171" s="1"/>
      <c r="E171" s="1"/>
      <c r="F171" s="13"/>
      <c r="G171" s="13"/>
      <c r="H171" s="15"/>
      <c r="I171" s="15"/>
      <c r="J171" s="56"/>
      <c r="K171" s="56"/>
      <c r="L171" s="56"/>
      <c r="M171" s="56"/>
      <c r="N171" s="22"/>
      <c r="O171" s="42"/>
    </row>
    <row r="172" spans="1:15">
      <c r="A172" s="37" t="str">
        <f t="shared" si="0"/>
        <v/>
      </c>
      <c r="B172" s="72"/>
      <c r="C172" s="18"/>
      <c r="D172" s="1"/>
      <c r="E172" s="1"/>
      <c r="F172" s="13"/>
      <c r="G172" s="13"/>
      <c r="H172" s="15"/>
      <c r="I172" s="15"/>
      <c r="J172" s="56"/>
      <c r="K172" s="56"/>
      <c r="L172" s="56"/>
      <c r="M172" s="56"/>
      <c r="N172" s="22"/>
      <c r="O172" s="42"/>
    </row>
    <row r="173" spans="1:15">
      <c r="A173" s="37" t="str">
        <f t="shared" si="0"/>
        <v/>
      </c>
      <c r="B173" s="73"/>
      <c r="C173" s="19"/>
      <c r="D173" s="8"/>
      <c r="E173" s="8"/>
      <c r="F173" s="14"/>
      <c r="G173" s="14"/>
      <c r="H173" s="16"/>
      <c r="I173" s="16"/>
      <c r="J173" s="57"/>
      <c r="K173" s="57"/>
      <c r="L173" s="57"/>
      <c r="M173" s="57"/>
      <c r="N173" s="23"/>
      <c r="O173" s="66"/>
    </row>
  </sheetData>
  <protectedRanges>
    <protectedRange sqref="D166:E166 C154:D154 D155:D165 N156:O162 B2:B6 J163:O166 J75:N78 J51:O74 J154:O155 J79:O84 J40:N50 H41:I50 D83:D153 J85:N153 P40:XFD165 F35:G166 O88:O153 B30:B166" name="開發項目_1"/>
    <protectedRange sqref="E2:E165" name="開發項目_6_1"/>
  </protectedRanges>
  <phoneticPr fontId="1" type="noConversion"/>
  <conditionalFormatting sqref="A2:I4 H5:I167 A5:A173">
    <cfRule type="expression" dxfId="36" priority="453">
      <formula>AND(#REF!="",$H2&lt;&gt;"",TODAY()&gt;$H2)</formula>
    </cfRule>
  </conditionalFormatting>
  <conditionalFormatting sqref="A2:N34 A35:O35 A36:N50 A51:O86 A87:N87 A88:O165 H166:N167 A166:A173 F167:G167 F168:N169 B170:B172 D170:N172 B173:N173 D166:G166 B166 O38:O50">
    <cfRule type="expression" dxfId="35" priority="454">
      <formula>#REF!&lt;&gt;""</formula>
    </cfRule>
  </conditionalFormatting>
  <conditionalFormatting sqref="B36:G38 C36:C44 B73:B132 C105:I121 D120:E124 B122:I148 F167:G169 B170:B172 D170:G172 B173:G173">
    <cfRule type="expression" dxfId="34" priority="449">
      <formula>AND($H36="",$G36&lt;&gt;"",TODAY()&gt;$G36)</formula>
    </cfRule>
  </conditionalFormatting>
  <conditionalFormatting sqref="B35:I35 E36:E44 H36:I44 D38:G44 B51:B55 B56:I72 C73:D79 D80 D166:G166 H166:I167">
    <cfRule type="expression" dxfId="33" priority="309">
      <formula>AND($H35="",$G35&lt;&gt;"",TODAY()&gt;$G35)</formula>
    </cfRule>
  </conditionalFormatting>
  <conditionalFormatting sqref="C80">
    <cfRule type="expression" dxfId="32" priority="485">
      <formula>AND(#REF!="",#REF!&lt;&gt;"",TODAY()&gt;#REF!)</formula>
    </cfRule>
  </conditionalFormatting>
  <conditionalFormatting sqref="C92:C93">
    <cfRule type="expression" dxfId="31" priority="489">
      <formula>AND($H94="",$G94&lt;&gt;"",TODAY()&gt;$G94)</formula>
    </cfRule>
  </conditionalFormatting>
  <conditionalFormatting sqref="C94:C95">
    <cfRule type="expression" dxfId="30" priority="9">
      <formula>AND($H96="",$G96&lt;&gt;"",TODAY()&gt;$G96)</formula>
    </cfRule>
  </conditionalFormatting>
  <conditionalFormatting sqref="C96:C98">
    <cfRule type="expression" dxfId="29" priority="494">
      <formula>AND($H99="",$G99&lt;&gt;"",TODAY()&gt;$G99)</formula>
    </cfRule>
  </conditionalFormatting>
  <conditionalFormatting sqref="C99">
    <cfRule type="expression" dxfId="28" priority="499">
      <formula>AND($H103="",$G103&lt;&gt;"",TODAY()&gt;$G103)</formula>
    </cfRule>
  </conditionalFormatting>
  <conditionalFormatting sqref="C100">
    <cfRule type="expression" dxfId="27" priority="10">
      <formula>AND(#REF!="",#REF!&lt;&gt;"",TODAY()&gt;#REF!)</formula>
    </cfRule>
  </conditionalFormatting>
  <conditionalFormatting sqref="C100:C103">
    <cfRule type="expression" dxfId="26" priority="513">
      <formula>AND(#REF!="",#REF!&lt;&gt;"",TODAY()&gt;#REF!)</formula>
    </cfRule>
  </conditionalFormatting>
  <conditionalFormatting sqref="D34">
    <cfRule type="expression" dxfId="25" priority="15">
      <formula>AND($H34="",$G34&lt;&gt;"",TODAY()&gt;$G34)</formula>
    </cfRule>
  </conditionalFormatting>
  <conditionalFormatting sqref="E2:E20 B5:M34 F36:G50 B38:C50 E38:G50 D45:I50 C51:I55 E73:I86 C75:C85 C81:D86 B87:I91 D89:E103 D92:I103 B104:I104 C149:I165 B149:B166">
    <cfRule type="expression" dxfId="24" priority="46">
      <formula>AND($H2="",$G2&lt;&gt;"",TODAY()&gt;$G2)</formula>
    </cfRule>
  </conditionalFormatting>
  <conditionalFormatting sqref="E5:E34">
    <cfRule type="expression" dxfId="23" priority="48">
      <formula>AND(#REF!="",$H5&lt;&gt;"",TODAY()&gt;$H5)</formula>
    </cfRule>
  </conditionalFormatting>
  <conditionalFormatting sqref="E72">
    <cfRule type="expression" dxfId="22" priority="6">
      <formula>AND(#REF!="",$H72&lt;&gt;"",TODAY()&gt;$H72)</formula>
    </cfRule>
  </conditionalFormatting>
  <conditionalFormatting sqref="H10:H11">
    <cfRule type="expression" dxfId="21" priority="24">
      <formula>AND($H10="",$G10&lt;&gt;"",TODAY()&gt;$G10)</formula>
    </cfRule>
  </conditionalFormatting>
  <conditionalFormatting sqref="H13">
    <cfRule type="expression" dxfId="20" priority="18">
      <formula>AND($H13="",$G13&lt;&gt;"",TODAY()&gt;$G13)</formula>
    </cfRule>
  </conditionalFormatting>
  <conditionalFormatting sqref="H5:M7">
    <cfRule type="expression" dxfId="19" priority="19">
      <formula>AND($H5="",$G5&lt;&gt;"",TODAY()&gt;$G5)</formula>
    </cfRule>
  </conditionalFormatting>
  <conditionalFormatting sqref="H28:M28">
    <cfRule type="expression" dxfId="18" priority="11">
      <formula>AND($H28="",$G28&lt;&gt;"",TODAY()&gt;$G28)</formula>
    </cfRule>
  </conditionalFormatting>
  <conditionalFormatting sqref="I2:M4">
    <cfRule type="expression" dxfId="17" priority="100">
      <formula>AND(#REF!="",$H2&lt;&gt;"",TODAY()&gt;$H2)</formula>
    </cfRule>
  </conditionalFormatting>
  <pageMargins left="0.7" right="0.7" top="0.75" bottom="0.75" header="0.3" footer="0.3"/>
  <ignoredErrors>
    <ignoredError sqref="B28 B61 B72" numberStoredAsText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BB96-7BB9-498A-8721-16446B5A124C}">
  <dimension ref="A2:I18"/>
  <sheetViews>
    <sheetView zoomScale="115" zoomScaleNormal="115" workbookViewId="0">
      <selection activeCell="F20" sqref="F20"/>
    </sheetView>
  </sheetViews>
  <sheetFormatPr defaultRowHeight="16.149999999999999"/>
  <cols>
    <col min="1" max="1" width="9.125" bestFit="1" customWidth="1"/>
    <col min="2" max="2" width="39.75" customWidth="1"/>
    <col min="3" max="3" width="65" customWidth="1"/>
    <col min="4" max="4" width="8.625" customWidth="1"/>
    <col min="5" max="5" width="11.375" style="132" customWidth="1"/>
    <col min="6" max="6" width="13.625" customWidth="1"/>
    <col min="7" max="7" width="11.625" customWidth="1"/>
    <col min="8" max="8" width="14.5" style="132" customWidth="1"/>
    <col min="9" max="9" width="38.25" customWidth="1"/>
  </cols>
  <sheetData>
    <row r="2" spans="1:9">
      <c r="A2" s="128" t="s">
        <v>0</v>
      </c>
      <c r="B2" s="130" t="s">
        <v>506</v>
      </c>
      <c r="C2" s="128" t="s">
        <v>507</v>
      </c>
      <c r="D2" s="128"/>
      <c r="E2" s="128" t="s">
        <v>87</v>
      </c>
      <c r="F2" s="128" t="s">
        <v>508</v>
      </c>
      <c r="G2" s="128" t="s">
        <v>509</v>
      </c>
      <c r="H2" s="128" t="s">
        <v>6</v>
      </c>
      <c r="I2" s="136">
        <v>46218</v>
      </c>
    </row>
    <row r="3" spans="1:9">
      <c r="A3" s="128">
        <v>1</v>
      </c>
      <c r="B3" s="131" t="s">
        <v>510</v>
      </c>
      <c r="C3" s="127" t="s">
        <v>511</v>
      </c>
      <c r="D3" s="127"/>
      <c r="E3" s="128" t="s">
        <v>512</v>
      </c>
      <c r="F3" s="128" t="s">
        <v>513</v>
      </c>
      <c r="G3" s="128" t="s">
        <v>514</v>
      </c>
      <c r="H3" s="128" t="s">
        <v>515</v>
      </c>
      <c r="I3" s="127" t="s">
        <v>516</v>
      </c>
    </row>
    <row r="4" spans="1:9">
      <c r="A4" s="128">
        <v>2</v>
      </c>
      <c r="B4" s="131" t="s">
        <v>517</v>
      </c>
      <c r="C4" s="127" t="s">
        <v>518</v>
      </c>
      <c r="D4" s="127"/>
      <c r="E4" s="128" t="s">
        <v>512</v>
      </c>
      <c r="F4" s="128" t="s">
        <v>513</v>
      </c>
      <c r="G4" s="128" t="s">
        <v>514</v>
      </c>
      <c r="H4" s="128" t="s">
        <v>515</v>
      </c>
      <c r="I4" s="127" t="s">
        <v>516</v>
      </c>
    </row>
    <row r="5" spans="1:9">
      <c r="A5" s="128">
        <v>3</v>
      </c>
      <c r="B5" s="131" t="s">
        <v>519</v>
      </c>
      <c r="C5" s="127" t="s">
        <v>520</v>
      </c>
      <c r="D5" s="127"/>
      <c r="E5" s="134" t="s">
        <v>521</v>
      </c>
      <c r="F5" s="133" t="s">
        <v>521</v>
      </c>
      <c r="G5" s="128" t="s">
        <v>522</v>
      </c>
      <c r="H5" s="128" t="s">
        <v>523</v>
      </c>
      <c r="I5" s="127" t="s">
        <v>516</v>
      </c>
    </row>
    <row r="6" spans="1:9">
      <c r="A6" s="128">
        <v>4</v>
      </c>
      <c r="B6" t="s">
        <v>524</v>
      </c>
      <c r="C6" s="127" t="s">
        <v>525</v>
      </c>
      <c r="D6" s="127"/>
      <c r="E6" s="134" t="s">
        <v>521</v>
      </c>
      <c r="F6" s="128" t="s">
        <v>513</v>
      </c>
      <c r="G6" s="128" t="s">
        <v>522</v>
      </c>
      <c r="H6" s="128" t="s">
        <v>515</v>
      </c>
      <c r="I6" s="127" t="s">
        <v>516</v>
      </c>
    </row>
    <row r="7" spans="1:9">
      <c r="A7" s="128">
        <v>5</v>
      </c>
      <c r="B7" s="131" t="s">
        <v>526</v>
      </c>
      <c r="C7" s="127" t="s">
        <v>527</v>
      </c>
      <c r="D7" s="127"/>
      <c r="E7" s="134" t="s">
        <v>521</v>
      </c>
      <c r="F7" s="128" t="s">
        <v>513</v>
      </c>
      <c r="G7" s="128" t="s">
        <v>522</v>
      </c>
      <c r="H7" s="128"/>
      <c r="I7" s="127" t="s">
        <v>516</v>
      </c>
    </row>
    <row r="8" spans="1:9">
      <c r="A8" s="128">
        <v>6</v>
      </c>
      <c r="B8" s="129" t="s">
        <v>528</v>
      </c>
      <c r="C8" s="127" t="s">
        <v>529</v>
      </c>
      <c r="D8" s="127"/>
      <c r="E8" s="134" t="s">
        <v>521</v>
      </c>
      <c r="F8" s="133" t="s">
        <v>521</v>
      </c>
      <c r="G8" s="128" t="s">
        <v>522</v>
      </c>
      <c r="H8" s="128"/>
      <c r="I8" s="127" t="s">
        <v>516</v>
      </c>
    </row>
    <row r="9" spans="1:9">
      <c r="A9" s="128">
        <v>7</v>
      </c>
      <c r="B9" s="131" t="s">
        <v>530</v>
      </c>
      <c r="C9" s="127" t="s">
        <v>531</v>
      </c>
      <c r="D9" s="127"/>
      <c r="E9" s="134"/>
      <c r="F9" s="133"/>
      <c r="G9" s="128"/>
      <c r="H9" s="128"/>
      <c r="I9" s="127"/>
    </row>
    <row r="10" spans="1:9">
      <c r="A10" s="128">
        <v>8</v>
      </c>
      <c r="B10" s="131" t="s">
        <v>532</v>
      </c>
      <c r="C10" s="127" t="s">
        <v>533</v>
      </c>
      <c r="D10" s="127"/>
      <c r="E10" s="128" t="s">
        <v>512</v>
      </c>
      <c r="F10" s="133" t="s">
        <v>521</v>
      </c>
      <c r="G10" s="128" t="s">
        <v>522</v>
      </c>
      <c r="H10" s="128"/>
      <c r="I10" s="127" t="s">
        <v>534</v>
      </c>
    </row>
    <row r="11" spans="1:9">
      <c r="A11" s="128">
        <v>9</v>
      </c>
      <c r="B11" s="131" t="s">
        <v>535</v>
      </c>
      <c r="C11" s="127" t="s">
        <v>536</v>
      </c>
      <c r="E11" s="128" t="s">
        <v>512</v>
      </c>
      <c r="F11" s="134" t="s">
        <v>521</v>
      </c>
      <c r="G11" s="128" t="s">
        <v>522</v>
      </c>
      <c r="H11" s="128"/>
      <c r="I11" s="127" t="s">
        <v>534</v>
      </c>
    </row>
    <row r="12" spans="1:9">
      <c r="A12" s="128">
        <v>10</v>
      </c>
      <c r="B12" s="131" t="s">
        <v>537</v>
      </c>
      <c r="C12" s="127" t="s">
        <v>538</v>
      </c>
      <c r="D12" s="127"/>
      <c r="E12" s="134" t="s">
        <v>521</v>
      </c>
      <c r="F12" s="128" t="s">
        <v>513</v>
      </c>
      <c r="G12" s="128" t="s">
        <v>522</v>
      </c>
      <c r="H12" s="128"/>
      <c r="I12" s="127"/>
    </row>
    <row r="13" spans="1:9">
      <c r="A13" s="135" t="s">
        <v>539</v>
      </c>
      <c r="B13" s="131"/>
      <c r="C13" s="127" t="s">
        <v>540</v>
      </c>
      <c r="D13" s="127"/>
      <c r="E13" s="134" t="s">
        <v>521</v>
      </c>
      <c r="F13" s="128" t="s">
        <v>513</v>
      </c>
      <c r="G13" s="128" t="s">
        <v>522</v>
      </c>
      <c r="H13" s="128"/>
      <c r="I13" s="127" t="s">
        <v>534</v>
      </c>
    </row>
    <row r="14" spans="1:9">
      <c r="A14" s="135" t="s">
        <v>541</v>
      </c>
      <c r="B14" s="131"/>
      <c r="C14" s="127" t="s">
        <v>542</v>
      </c>
      <c r="D14" s="127"/>
      <c r="E14" s="134" t="s">
        <v>521</v>
      </c>
      <c r="F14" s="134" t="s">
        <v>521</v>
      </c>
      <c r="G14" s="128" t="s">
        <v>522</v>
      </c>
      <c r="H14" s="128"/>
      <c r="I14" s="127" t="s">
        <v>534</v>
      </c>
    </row>
    <row r="15" spans="1:9">
      <c r="A15" s="128">
        <v>11</v>
      </c>
      <c r="B15" s="131" t="s">
        <v>543</v>
      </c>
      <c r="C15" s="127" t="s">
        <v>544</v>
      </c>
      <c r="D15" s="127"/>
      <c r="E15" s="134" t="s">
        <v>521</v>
      </c>
      <c r="F15" s="133" t="s">
        <v>521</v>
      </c>
      <c r="G15" s="128" t="s">
        <v>522</v>
      </c>
      <c r="H15" s="128"/>
      <c r="I15" s="127" t="s">
        <v>516</v>
      </c>
    </row>
    <row r="16" spans="1:9">
      <c r="A16" s="128">
        <v>12</v>
      </c>
      <c r="B16" s="131" t="s">
        <v>545</v>
      </c>
      <c r="C16" s="127" t="s">
        <v>546</v>
      </c>
      <c r="D16" s="127"/>
      <c r="E16" s="128" t="s">
        <v>512</v>
      </c>
      <c r="F16" s="133" t="s">
        <v>521</v>
      </c>
      <c r="G16" s="128" t="s">
        <v>522</v>
      </c>
      <c r="H16" s="128"/>
      <c r="I16" s="127" t="s">
        <v>547</v>
      </c>
    </row>
    <row r="17" spans="1:9">
      <c r="A17" s="128">
        <v>13</v>
      </c>
      <c r="B17" s="131" t="s">
        <v>548</v>
      </c>
      <c r="C17" s="127" t="s">
        <v>549</v>
      </c>
      <c r="D17" s="127"/>
      <c r="E17" s="128" t="s">
        <v>512</v>
      </c>
      <c r="F17" s="128" t="s">
        <v>512</v>
      </c>
      <c r="G17" s="128" t="s">
        <v>522</v>
      </c>
      <c r="H17" s="128"/>
      <c r="I17" s="127" t="s">
        <v>550</v>
      </c>
    </row>
    <row r="18" spans="1:9">
      <c r="A18" s="128">
        <v>14</v>
      </c>
      <c r="B18" s="131" t="s">
        <v>551</v>
      </c>
      <c r="C18" s="127" t="s">
        <v>552</v>
      </c>
      <c r="D18" s="127"/>
      <c r="E18" s="128" t="s">
        <v>512</v>
      </c>
      <c r="F18" s="128" t="s">
        <v>513</v>
      </c>
      <c r="G18" s="128" t="s">
        <v>553</v>
      </c>
      <c r="H18" s="128"/>
      <c r="I18" s="127"/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ca1071-3377-4d57-8947-820131ba626a">
      <Terms xmlns="http://schemas.microsoft.com/office/infopath/2007/PartnerControls"/>
    </lcf76f155ced4ddcb4097134ff3c332f>
    <TaxCatchAll xmlns="7ce5c2e5-daa6-46ff-9caf-d272397adb48" xsi:nil="true"/>
    <_Flow_SignoffStatus xmlns="4eca1071-3377-4d57-8947-820131ba626a" xsi:nil="true"/>
    <Tag xmlns="4eca1071-3377-4d57-8947-820131ba62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42F5527595BEF242B927468CC29553FD" ma:contentTypeVersion="21" ma:contentTypeDescription="建立新的文件。" ma:contentTypeScope="" ma:versionID="8de5b2684acd6dcf92c8be498c761db4">
  <xsd:schema xmlns:xsd="http://www.w3.org/2001/XMLSchema" xmlns:xs="http://www.w3.org/2001/XMLSchema" xmlns:p="http://schemas.microsoft.com/office/2006/metadata/properties" xmlns:ns2="4eca1071-3377-4d57-8947-820131ba626a" xmlns:ns3="7ce5c2e5-daa6-46ff-9caf-d272397adb48" targetNamespace="http://schemas.microsoft.com/office/2006/metadata/properties" ma:root="true" ma:fieldsID="00e0cf1a2a77e5af309d3b2f5b42e366" ns2:_="" ns3:_="">
    <xsd:import namespace="4eca1071-3377-4d57-8947-820131ba626a"/>
    <xsd:import namespace="7ce5c2e5-daa6-46ff-9caf-d272397adb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Flow_SignoffStatus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a1071-3377-4d57-8947-820131ba62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影像標籤" ma:readOnly="false" ma:fieldId="{5cf76f15-5ced-4ddc-b409-7134ff3c332f}" ma:taxonomyMulti="true" ma:sspId="df116a07-4740-49fe-9fb1-88fb0e4751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7" nillable="true" ma:displayName="簽核狀態" ma:internalName="_x0024_Resources_x003a_core_x002c_Signoff_Status">
      <xsd:simpleType>
        <xsd:restriction base="dms:Text"/>
      </xsd:simpleType>
    </xsd:element>
    <xsd:element name="Tag" ma:index="28" nillable="true" ma:displayName="Tag" ma:format="Dropdown" ma:internalName="Tag">
      <xsd:simpleType>
        <xsd:restriction base="dms:Choice">
          <xsd:enumeration value="規格書"/>
          <xsd:enumeration value="選擇 2"/>
          <xsd:enumeration value="選擇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5c2e5-daa6-46ff-9caf-d272397adb4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894ddef-2c30-4bca-af2f-2caebd109d16}" ma:internalName="TaxCatchAll" ma:showField="CatchAllData" ma:web="7ce5c2e5-daa6-46ff-9caf-d272397adb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84BFA0-4D25-404D-8B2B-9E1B0B0A6111}"/>
</file>

<file path=customXml/itemProps2.xml><?xml version="1.0" encoding="utf-8"?>
<ds:datastoreItem xmlns:ds="http://schemas.openxmlformats.org/officeDocument/2006/customXml" ds:itemID="{8ACF6240-3DEF-4C46-B92F-C100D24940C3}"/>
</file>

<file path=customXml/itemProps3.xml><?xml version="1.0" encoding="utf-8"?>
<ds:datastoreItem xmlns:ds="http://schemas.openxmlformats.org/officeDocument/2006/customXml" ds:itemID="{B604250D-6B73-4818-A2CA-BB7370CC60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蕭維德</dc:creator>
  <cp:keywords/>
  <dc:description/>
  <cp:lastModifiedBy/>
  <cp:revision/>
  <dcterms:created xsi:type="dcterms:W3CDTF">2022-08-22T07:22:07Z</dcterms:created>
  <dcterms:modified xsi:type="dcterms:W3CDTF">2026-09-04T08:53:09Z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0x01010042F5527595BEF242B927468CC29553FD</vt:lpwstr>
  </property>
  <property fmtid="{D5CDD505-2E9C-101B-9397-08002B2CF9AE}" pid="3" name="MediaServiceImageTags">
    <vt:lpwstr/>
  </property>
</Properties>
</file>