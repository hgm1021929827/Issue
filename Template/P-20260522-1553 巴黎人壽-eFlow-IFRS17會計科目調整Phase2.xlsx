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yajia.sharepoint.com/sites/msteams_908e03/Shared Documents/巴黎管顧/P-20260522-1553 巴黎人壽-eFlow-IFRS17會計科目調整Phase2/"/>
    </mc:Choice>
  </mc:AlternateContent>
  <xr:revisionPtr revIDLastSave="0" documentId="8_{687CF1C2-202F-4D3D-9932-604954A0B8D4}" xr6:coauthVersionLast="47" xr6:coauthVersionMax="47" xr10:uidLastSave="{00000000-0000-0000-0000-000000000000}"/>
  <bookViews>
    <workbookView xWindow="-120" yWindow="-120" windowWidth="29040" windowHeight="15840" tabRatio="662" firstSheet="1" activeTab="1" xr2:uid="{99DE6C2C-81D0-4C6D-9B2C-2DA2E0B471F4}"/>
  </bookViews>
  <sheets>
    <sheet name="查核點" sheetId="12" r:id="rId1"/>
    <sheet name="工作項目" sheetId="10" r:id="rId2"/>
    <sheet name="議題單" sheetId="5" r:id="rId3"/>
    <sheet name="議題圖" sheetId="13" r:id="rId4"/>
    <sheet name="CheckList" sheetId="1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A6" i="5" l="1"/>
  <c r="A7" i="5"/>
  <c r="A8" i="5"/>
  <c r="A9" i="5"/>
  <c r="A10" i="5"/>
  <c r="A11" i="5"/>
  <c r="A12" i="5"/>
  <c r="A13" i="5"/>
  <c r="A14" i="5"/>
  <c r="A15" i="5"/>
  <c r="A16" i="5"/>
  <c r="A17" i="5"/>
  <c r="A18" i="5"/>
  <c r="A2" i="5"/>
  <c r="A3" i="5"/>
  <c r="A4" i="5"/>
  <c r="D8" i="10"/>
  <c r="D3" i="10"/>
  <c r="A17" i="10" l="1"/>
  <c r="A10" i="10" l="1"/>
  <c r="A11" i="10"/>
  <c r="A12" i="10"/>
  <c r="A13" i="10"/>
  <c r="A14" i="10"/>
  <c r="A15" i="10"/>
  <c r="A16" i="10"/>
  <c r="D19" i="10" l="1"/>
  <c r="A2" i="10" l="1"/>
  <c r="A32" i="10"/>
  <c r="A33" i="10"/>
  <c r="A3" i="10"/>
  <c r="A4" i="10"/>
  <c r="A5" i="10"/>
  <c r="A6" i="10"/>
  <c r="A7" i="10"/>
  <c r="A8" i="10"/>
  <c r="A9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A8" i="11"/>
  <c r="A7" i="11"/>
  <c r="A6" i="11"/>
  <c r="A5" i="11"/>
  <c r="A4" i="11"/>
  <c r="A3" i="11"/>
  <c r="H2" i="5"/>
  <c r="H4" i="5"/>
  <c r="A9" i="11" l="1"/>
  <c r="A10" i="11"/>
  <c r="A11" i="11"/>
  <c r="A12" i="11"/>
  <c r="A13" i="11"/>
  <c r="A14" i="11"/>
  <c r="A15" i="11"/>
  <c r="A16" i="11"/>
  <c r="A17" i="11"/>
  <c r="A18" i="11"/>
  <c r="A19" i="11"/>
  <c r="H3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</calcChain>
</file>

<file path=xl/sharedStrings.xml><?xml version="1.0" encoding="utf-8"?>
<sst xmlns="http://schemas.openxmlformats.org/spreadsheetml/2006/main" count="165" uniqueCount="120">
  <si>
    <t>項次</t>
    <phoneticPr fontId="1" type="noConversion"/>
  </si>
  <si>
    <t>項目</t>
    <phoneticPr fontId="1" type="noConversion"/>
  </si>
  <si>
    <t>開始時間</t>
    <phoneticPr fontId="1" type="noConversion"/>
  </si>
  <si>
    <t>結束時間</t>
    <phoneticPr fontId="1" type="noConversion"/>
  </si>
  <si>
    <t>實際完成日</t>
  </si>
  <si>
    <t>狀態(如期or延遲)</t>
    <phoneticPr fontId="1" type="noConversion"/>
  </si>
  <si>
    <t>備註</t>
    <phoneticPr fontId="1" type="noConversion"/>
  </si>
  <si>
    <t>佐證資料</t>
  </si>
  <si>
    <t>起案</t>
    <phoneticPr fontId="9" type="noConversion"/>
  </si>
  <si>
    <t>規格階段</t>
    <phoneticPr fontId="9" type="noConversion"/>
  </si>
  <si>
    <t>開發/交付</t>
    <phoneticPr fontId="9" type="noConversion"/>
  </si>
  <si>
    <t>測試</t>
    <phoneticPr fontId="9" type="noConversion"/>
  </si>
  <si>
    <t>GoLive</t>
    <phoneticPr fontId="9" type="noConversion"/>
  </si>
  <si>
    <t>工作代號</t>
    <phoneticPr fontId="1" type="noConversion"/>
  </si>
  <si>
    <t>工作說明</t>
    <phoneticPr fontId="1" type="noConversion"/>
  </si>
  <si>
    <t>計畫人天</t>
  </si>
  <si>
    <t>負責人員</t>
    <phoneticPr fontId="1" type="noConversion"/>
  </si>
  <si>
    <t>預計開始日</t>
    <phoneticPr fontId="1" type="noConversion"/>
  </si>
  <si>
    <t>預計完成日</t>
  </si>
  <si>
    <t>實際開始日</t>
  </si>
  <si>
    <t>實際完成日</t>
    <phoneticPr fontId="1" type="noConversion"/>
  </si>
  <si>
    <t>實際處理時間
(PM)</t>
    <phoneticPr fontId="1" type="noConversion"/>
  </si>
  <si>
    <t>實際處理時間
(SA)</t>
    <phoneticPr fontId="1" type="noConversion"/>
  </si>
  <si>
    <t>實際處理時間
(PG)</t>
    <phoneticPr fontId="1" type="noConversion"/>
  </si>
  <si>
    <t>實際處理時間
(QC)</t>
    <phoneticPr fontId="1" type="noConversion"/>
  </si>
  <si>
    <t>備註</t>
  </si>
  <si>
    <t>起案會議</t>
  </si>
  <si>
    <t>蘇傑璋</t>
    <phoneticPr fontId="1" type="noConversion"/>
  </si>
  <si>
    <t>06/05  -1.5H</t>
    <phoneticPr fontId="1" type="noConversion"/>
  </si>
  <si>
    <t>規格階段</t>
    <phoneticPr fontId="1" type="noConversion"/>
  </si>
  <si>
    <t>需求訪談</t>
    <phoneticPr fontId="1" type="noConversion"/>
  </si>
  <si>
    <t>蘇傑璋、李翊華、
客戶-Jessie、客戶-Marvin</t>
    <phoneticPr fontId="1" type="noConversion"/>
  </si>
  <si>
    <t>06/05  -0.5H</t>
    <phoneticPr fontId="1" type="noConversion"/>
  </si>
  <si>
    <t>規格書撰寫</t>
    <phoneticPr fontId="1" type="noConversion"/>
  </si>
  <si>
    <t>蘇傑璋</t>
  </si>
  <si>
    <t>06/02 - 2.5H
06/04 - 2H
06/09 - 3H
06/10 - 5.5H</t>
    <phoneticPr fontId="1" type="noConversion"/>
  </si>
  <si>
    <t>2.2.1</t>
    <phoneticPr fontId="1" type="noConversion"/>
  </si>
  <si>
    <t>規格書確認</t>
    <phoneticPr fontId="1" type="noConversion"/>
  </si>
  <si>
    <t>蘇傑璋、客戶-Jessie、客戶-Marvin</t>
    <phoneticPr fontId="1" type="noConversion"/>
  </si>
  <si>
    <t>2.2.2</t>
    <phoneticPr fontId="1" type="noConversion"/>
  </si>
  <si>
    <t>客服單-規格確認單簽回</t>
    <phoneticPr fontId="1" type="noConversion"/>
  </si>
  <si>
    <t>程式開發</t>
    <phoneticPr fontId="1" type="noConversion"/>
  </si>
  <si>
    <t>一般請款單-請款明細</t>
    <phoneticPr fontId="1" type="noConversion"/>
  </si>
  <si>
    <t>李翊華</t>
  </si>
  <si>
    <t>6/12 - 3H
6/15 - 2.5H
6/16 - 5.5H</t>
  </si>
  <si>
    <t>零用金申請單-請款明細</t>
    <phoneticPr fontId="1" type="noConversion"/>
  </si>
  <si>
    <t>6/18 - 4.5H</t>
  </si>
  <si>
    <t>佣金/獎勵申請單-請款明細</t>
    <phoneticPr fontId="1" type="noConversion"/>
  </si>
  <si>
    <t>6/18 - 3H
6/22 - 7.5H</t>
  </si>
  <si>
    <t>選擇採購品項開窗</t>
    <phoneticPr fontId="1" type="noConversion"/>
  </si>
  <si>
    <t>6/23 - 1H</t>
  </si>
  <si>
    <t>列印黏貼單</t>
    <phoneticPr fontId="1" type="noConversion"/>
  </si>
  <si>
    <t>會計科目維護+資料Mapping</t>
    <phoneticPr fontId="1" type="noConversion"/>
  </si>
  <si>
    <t>6/23 - 1H
6/25 - 2H
7/07 - 1H</t>
  </si>
  <si>
    <t>請購品項維護+資料Mapping</t>
    <phoneticPr fontId="1" type="noConversion"/>
  </si>
  <si>
    <t>差旅品項維護+資料Mapping</t>
    <phoneticPr fontId="1" type="noConversion"/>
  </si>
  <si>
    <t>加班品項維護+資料Mapping</t>
    <phoneticPr fontId="1" type="noConversion"/>
  </si>
  <si>
    <t>6/23 - 1H
6/24 - 1H</t>
  </si>
  <si>
    <t>3.10</t>
    <phoneticPr fontId="1" type="noConversion"/>
  </si>
  <si>
    <t>請款作業匯出檔案調整</t>
    <phoneticPr fontId="1" type="noConversion"/>
  </si>
  <si>
    <t>6/29 - 2H
7/07 - 5H</t>
  </si>
  <si>
    <t>測試</t>
    <phoneticPr fontId="1" type="noConversion"/>
  </si>
  <si>
    <t>4.1.1</t>
    <phoneticPr fontId="1" type="noConversion"/>
  </si>
  <si>
    <t>客戶測試區部屬</t>
    <phoneticPr fontId="1" type="noConversion"/>
  </si>
  <si>
    <t>7/16 -3.5H
7/30 - 1.5H</t>
  </si>
  <si>
    <t>4.2.1</t>
    <phoneticPr fontId="1" type="noConversion"/>
  </si>
  <si>
    <t>客戶測試+亞家調整</t>
    <phoneticPr fontId="1" type="noConversion"/>
  </si>
  <si>
    <t>蘇
7/15 - 1.5H
7/23 - 0.5H</t>
    <phoneticPr fontId="1" type="noConversion"/>
  </si>
  <si>
    <t>客戶正式區部屬</t>
    <phoneticPr fontId="1" type="noConversion"/>
  </si>
  <si>
    <t>李翊華</t>
    <phoneticPr fontId="1" type="noConversion"/>
  </si>
  <si>
    <t>Go-Live</t>
    <phoneticPr fontId="1" type="noConversion"/>
  </si>
  <si>
    <t>蘇傑璋、
客戶-Jessie、客戶-Marvin</t>
    <phoneticPr fontId="1" type="noConversion"/>
  </si>
  <si>
    <t>程式交付+驗收客服單</t>
    <phoneticPr fontId="1" type="noConversion"/>
  </si>
  <si>
    <t>結案檢討</t>
  </si>
  <si>
    <t>蘇傑璋、李翊華</t>
    <phoneticPr fontId="1" type="noConversion"/>
  </si>
  <si>
    <t>提報人</t>
  </si>
  <si>
    <t>提報日期</t>
  </si>
  <si>
    <t>類型</t>
  </si>
  <si>
    <t>需求說明</t>
  </si>
  <si>
    <t>解決方案</t>
  </si>
  <si>
    <t>處理人員</t>
  </si>
  <si>
    <t>狀態</t>
  </si>
  <si>
    <t>內部Uat確認</t>
  </si>
  <si>
    <t>部版版號</t>
  </si>
  <si>
    <t>客戶UAT日</t>
  </si>
  <si>
    <t>客戶確認日</t>
  </si>
  <si>
    <t>蘇傑</t>
    <phoneticPr fontId="1" type="noConversion"/>
  </si>
  <si>
    <t>Bug</t>
  </si>
  <si>
    <t>一般請款單 &gt; 選擇採購品項 &gt; 選擇採購單，若採購明細的會計科目(IFRS4)沒有對應的IFRS17，目前會帶入N，IFRS4自動對應至130000</t>
  </si>
  <si>
    <t>應該是將會計科目帶入空值，讓使用者補上選擇新的IFRS17會計科目</t>
    <phoneticPr fontId="1" type="noConversion"/>
  </si>
  <si>
    <t>7/15 - 1H</t>
  </si>
  <si>
    <t>議題</t>
  </si>
  <si>
    <t>選擇採購品項開窗，設定的寬不夠，要按查詢還要往右拉動才能查
見議題圖</t>
  </si>
  <si>
    <t>7/15 - 0.5H</t>
  </si>
  <si>
    <t>一般請款單：EXCEL匯入範本檔的會計科目sheet沒有更新到
[關係人]的標頭被切到</t>
  </si>
  <si>
    <t>會計科目維護、差旅品項維護、加班品項維護查詢功能</t>
  </si>
  <si>
    <t>7/20 -0.5H</t>
  </si>
  <si>
    <t>Jessie</t>
    <phoneticPr fontId="1" type="noConversion"/>
  </si>
  <si>
    <t>列印黏貼單：
1.額外判斷金額欄位若是台幣，則僅顯示至整數位
2.將 "1:" 字眼移除</t>
    <phoneticPr fontId="1" type="noConversion"/>
  </si>
  <si>
    <t>7/27 - 0.5H</t>
  </si>
  <si>
    <t>差旅品項、加班品項、請購品項資料來源不可使用會計科目表</t>
  </si>
  <si>
    <t>7/29 - 1H</t>
  </si>
  <si>
    <t>勿動</t>
    <phoneticPr fontId="1" type="noConversion"/>
  </si>
  <si>
    <t>編號</t>
  </si>
  <si>
    <t>處理人員</t>
    <phoneticPr fontId="1" type="noConversion"/>
  </si>
  <si>
    <t>預計完成日</t>
    <phoneticPr fontId="1" type="noConversion"/>
  </si>
  <si>
    <t>內部確認</t>
    <phoneticPr fontId="1" type="noConversion"/>
  </si>
  <si>
    <t>客戶確認</t>
    <phoneticPr fontId="1" type="noConversion"/>
  </si>
  <si>
    <t>起案會議</t>
    <phoneticPr fontId="1" type="noConversion"/>
  </si>
  <si>
    <t>All</t>
    <phoneticPr fontId="1" type="noConversion"/>
  </si>
  <si>
    <t>ppt POC  PEP</t>
    <phoneticPr fontId="1" type="noConversion"/>
  </si>
  <si>
    <t>規格書文件</t>
    <phoneticPr fontId="1" type="noConversion"/>
  </si>
  <si>
    <t>docx 、客服單</t>
    <phoneticPr fontId="1" type="noConversion"/>
  </si>
  <si>
    <t>程式交付</t>
    <phoneticPr fontId="1" type="noConversion"/>
  </si>
  <si>
    <t>程式版控</t>
    <phoneticPr fontId="1" type="noConversion"/>
  </si>
  <si>
    <t>git</t>
    <phoneticPr fontId="1" type="noConversion"/>
  </si>
  <si>
    <t>測試/操作手冊</t>
    <phoneticPr fontId="1" type="noConversion"/>
  </si>
  <si>
    <t>docx、客服單</t>
    <phoneticPr fontId="1" type="noConversion"/>
  </si>
  <si>
    <t>結案會議</t>
    <phoneticPr fontId="1" type="noConversion"/>
  </si>
  <si>
    <t>表單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</si>
</sst>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m&quot;月&quot;d&quot;日&quot;"/>
    <numFmt numFmtId="178" formatCode="0.0"/>
    <numFmt numFmtId="179" formatCode="0.0_);[Red]\(0.0\)"/>
  </numFmts>
  <fonts count="1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0"/>
      <name val="微軟正黑體"/>
      <family val="2"/>
      <charset val="136"/>
    </font>
    <font>
      <b/>
      <sz val="14"/>
      <name val="Calibri"/>
      <family val="2"/>
    </font>
    <font>
      <b/>
      <sz val="14"/>
      <name val="細明體"/>
      <family val="2"/>
      <charset val="136"/>
    </font>
    <font>
      <sz val="14"/>
      <name val="Calibr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微軟正黑體"/>
      <family val="2"/>
      <charset val="136"/>
    </font>
    <font>
      <b/>
      <sz val="14"/>
      <color theme="1"/>
      <name val="Calibri"/>
      <family val="2"/>
    </font>
    <font>
      <sz val="24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7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14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right" vertical="center"/>
    </xf>
    <xf numFmtId="176" fontId="2" fillId="0" borderId="10" xfId="0" applyNumberFormat="1" applyFont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77" fontId="2" fillId="2" borderId="3" xfId="0" quotePrefix="1" applyNumberFormat="1" applyFont="1" applyFill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/>
    </xf>
    <xf numFmtId="0" fontId="0" fillId="0" borderId="0" xfId="0" applyAlignment="1"/>
    <xf numFmtId="0" fontId="10" fillId="4" borderId="11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8" xfId="0" applyFont="1" applyFill="1" applyBorder="1">
      <alignment vertical="center"/>
    </xf>
    <xf numFmtId="0" fontId="10" fillId="4" borderId="19" xfId="0" applyFont="1" applyFill="1" applyBorder="1">
      <alignment vertical="center"/>
    </xf>
    <xf numFmtId="0" fontId="8" fillId="4" borderId="0" xfId="0" applyFont="1" applyFill="1">
      <alignment vertical="center"/>
    </xf>
    <xf numFmtId="0" fontId="13" fillId="0" borderId="0" xfId="1" applyFont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176" fontId="3" fillId="0" borderId="7" xfId="0" applyNumberFormat="1" applyFont="1" applyBorder="1" applyAlignment="1">
      <alignment horizontal="right" vertical="center"/>
    </xf>
    <xf numFmtId="176" fontId="3" fillId="0" borderId="2" xfId="0" applyNumberFormat="1" applyFont="1" applyBorder="1" applyAlignment="1">
      <alignment horizontal="right" vertical="center"/>
    </xf>
    <xf numFmtId="0" fontId="14" fillId="0" borderId="0" xfId="0" applyFont="1">
      <alignment vertical="center"/>
    </xf>
    <xf numFmtId="176" fontId="6" fillId="0" borderId="1" xfId="0" applyNumberFormat="1" applyFont="1" applyBorder="1" applyAlignment="1">
      <alignment horizontal="right" vertical="center" wrapText="1"/>
    </xf>
    <xf numFmtId="178" fontId="2" fillId="2" borderId="3" xfId="0" quotePrefix="1" applyNumberFormat="1" applyFont="1" applyFill="1" applyBorder="1" applyAlignment="1">
      <alignment horizontal="center" vertical="center"/>
    </xf>
    <xf numFmtId="176" fontId="15" fillId="0" borderId="1" xfId="0" applyNumberFormat="1" applyFont="1" applyBorder="1" applyAlignment="1">
      <alignment horizontal="right" vertical="center"/>
    </xf>
    <xf numFmtId="0" fontId="11" fillId="0" borderId="21" xfId="1" applyFont="1" applyBorder="1">
      <alignment vertical="center"/>
    </xf>
    <xf numFmtId="0" fontId="12" fillId="0" borderId="21" xfId="1" applyFont="1" applyBorder="1">
      <alignment vertical="center"/>
    </xf>
    <xf numFmtId="0" fontId="12" fillId="0" borderId="21" xfId="1" applyFont="1" applyBorder="1" applyAlignment="1">
      <alignment vertical="center" wrapText="1"/>
    </xf>
    <xf numFmtId="0" fontId="13" fillId="0" borderId="21" xfId="1" applyFont="1" applyBorder="1">
      <alignment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179" fontId="3" fillId="0" borderId="5" xfId="0" applyNumberFormat="1" applyFont="1" applyBorder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5" fillId="0" borderId="2" xfId="0" applyNumberFormat="1" applyFont="1" applyBorder="1" applyAlignment="1">
      <alignment horizontal="right" vertical="center"/>
    </xf>
    <xf numFmtId="179" fontId="5" fillId="0" borderId="10" xfId="0" applyNumberFormat="1" applyFont="1" applyBorder="1" applyAlignment="1">
      <alignment horizontal="right" vertical="center"/>
    </xf>
    <xf numFmtId="176" fontId="16" fillId="0" borderId="21" xfId="1" applyNumberFormat="1" applyFont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/>
    </xf>
    <xf numFmtId="0" fontId="3" fillId="6" borderId="3" xfId="0" quotePrefix="1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right" vertical="center"/>
    </xf>
    <xf numFmtId="0" fontId="2" fillId="5" borderId="3" xfId="0" quotePrefix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2">
    <cellStyle name="一般" xfId="0" builtinId="0"/>
    <cellStyle name="一般 2" xfId="1" xr:uid="{7615BCE9-52AC-4EED-9152-A5E505200350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B05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B05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9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9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9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9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FFF99"/>
      <color rgb="FFFFFF6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142171</xdr:colOff>
      <xdr:row>16</xdr:row>
      <xdr:rowOff>123417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EF03389-90E6-E384-EF2C-E211EFA3D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5628571" cy="32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9</xdr:col>
      <xdr:colOff>275419</xdr:colOff>
      <xdr:row>54</xdr:row>
      <xdr:rowOff>113343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2B805E3-5D6A-671D-1165-957DECBC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71925"/>
          <a:ext cx="6447619" cy="7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276225</xdr:colOff>
      <xdr:row>17</xdr:row>
      <xdr:rowOff>390525</xdr:rowOff>
    </xdr:from>
    <xdr:to>
      <xdr:col>18</xdr:col>
      <xdr:colOff>665930</xdr:colOff>
      <xdr:row>24</xdr:row>
      <xdr:rowOff>9364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C6A7294-330E-1289-9FAA-E1DD32311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48425" y="4152900"/>
          <a:ext cx="6561905" cy="1285714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23</xdr:row>
      <xdr:rowOff>190500</xdr:rowOff>
    </xdr:from>
    <xdr:to>
      <xdr:col>14</xdr:col>
      <xdr:colOff>285326</xdr:colOff>
      <xdr:row>30</xdr:row>
      <xdr:rowOff>66507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BC97B59D-293C-B00A-E53A-A4C0C24B5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96050" y="5410200"/>
          <a:ext cx="3390476" cy="13428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3295C-EF49-44BE-A908-21038970E5AF}" name="表格4_2" displayName="表格4_2" ref="A1:O48" totalsRowShown="0" dataDxfId="56" tableBorderDxfId="55">
  <autoFilter ref="A1:O48" xr:uid="{694C97E6-C339-4C5F-A057-8DB8842D67E2}"/>
  <tableColumns count="15">
    <tableColumn id="1" xr3:uid="{EA4A9FC7-FABC-4247-BA0A-B22C6F5700EE}" name="項次" dataDxfId="54">
      <calculatedColumnFormula>IF(C2="","",ROW()-1)</calculatedColumnFormula>
    </tableColumn>
    <tableColumn id="15" xr3:uid="{492B3E46-4C57-4B2C-8F3B-1E0B9ED3E491}" name="工作代號" dataDxfId="53"/>
    <tableColumn id="2" xr3:uid="{88749BC3-D25C-4D3A-856B-1634BB53A1DF}" name="工作說明" dataDxfId="52"/>
    <tableColumn id="3" xr3:uid="{B40A7971-6B7D-4C05-814F-7C60981FE929}" name="計畫人天" dataDxfId="51"/>
    <tableColumn id="4" xr3:uid="{14CF2C9E-6E98-435A-8C52-202F1D1A64AD}" name="負責人員" dataDxfId="50"/>
    <tableColumn id="5" xr3:uid="{F9302CE7-5661-4AF3-91F2-9F19B4296B3B}" name="預計開始日" dataDxfId="49"/>
    <tableColumn id="6" xr3:uid="{F75A10CA-0206-438D-8604-5FA71B876C67}" name="預計完成日" dataDxfId="48"/>
    <tableColumn id="7" xr3:uid="{FC92BCCD-F3CC-4C2F-AB9F-CCCA8D5DA726}" name="實際開始日" dataDxfId="47"/>
    <tableColumn id="12" xr3:uid="{6391B1E6-02FA-489A-A16A-5305866D82D8}" name="實際完成日" dataDxfId="46"/>
    <tableColumn id="8" xr3:uid="{9F504B45-FD7B-4933-B429-F8D57BC5B8B5}" name="實際處理時間_x000a_(PM)" dataDxfId="45"/>
    <tableColumn id="11" xr3:uid="{0B68DE13-AD61-44FE-9ACE-86C3E1C40BF5}" name="實際處理時間_x000a_(SA)" dataDxfId="44"/>
    <tableColumn id="14" xr3:uid="{DC7B702C-1E90-4F12-9AA5-17296921726F}" name="實際處理時間_x000a_(PG)" dataDxfId="43"/>
    <tableColumn id="10" xr3:uid="{1466C394-D5C6-44CD-A66C-7151F39BE3E9}" name="實際處理時間_x000a_(QC)" dataDxfId="42"/>
    <tableColumn id="13" xr3:uid="{E861389F-F0FB-4250-8080-B1CC554C5E98}" name="狀態(如期or延遲)" dataDxfId="41"/>
    <tableColumn id="9" xr3:uid="{DE09E5D4-3AF8-4643-9EF5-24E556543637}" name="備註" dataDxfId="4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70157B-9CE4-4CEE-835A-0E0802BA57D7}" name="表格6" displayName="表格6" ref="A1:O18" totalsRowShown="0" headerRowDxfId="37" dataDxfId="36" headerRowBorderDxfId="34" tableBorderDxfId="35" totalsRowBorderDxfId="33">
  <autoFilter ref="A1:O18" xr:uid="{6270157B-9CE4-4CEE-835A-0E0802BA57D7}"/>
  <tableColumns count="15">
    <tableColumn id="1" xr3:uid="{64709E57-1FC0-493C-B0FA-BCB3707A90BB}" name="項次" dataDxfId="32">
      <calculatedColumnFormula>IF(E2="","",ROW()-1)</calculatedColumnFormula>
    </tableColumn>
    <tableColumn id="2" xr3:uid="{9E00ACCA-8F3A-4B7A-9E71-6B94FB1FC627}" name="提報人" dataDxfId="31"/>
    <tableColumn id="12" xr3:uid="{B9734491-063D-48E2-90D3-9D11F78E4759}" name="提報日期" dataDxfId="30"/>
    <tableColumn id="3" xr3:uid="{5FFBCAD0-6354-47DE-83AC-9C54B1C5B103}" name="類型" dataDxfId="29"/>
    <tableColumn id="4" xr3:uid="{EA9E7C3F-2F4C-4351-BBB7-3AD2A9CED491}" name="需求說明" dataDxfId="28"/>
    <tableColumn id="13" xr3:uid="{D226F8F3-AE6A-4B17-969A-C6F792408412}" name="解決方案" dataDxfId="27"/>
    <tableColumn id="5" xr3:uid="{53C0080F-C295-4D94-AC7A-A11D9A7F7DD1}" name="處理人員" dataDxfId="26"/>
    <tableColumn id="6" xr3:uid="{20393CE7-6BBC-4C31-B54F-E39F7F068A46}" name="狀態" dataDxfId="25">
      <calculatedColumnFormula>IF($N2&lt;&gt;"","已確認",IF($K2&lt;&gt;"","Uat已完成",IF($J2&lt;&gt;"","修改完成",IF(AND(TODAY()&gt;$I2,$I2&lt;&gt;""),"已逾期",IF(AND(TODAY()&lt;=$I2,$I2&lt;&gt;""),"進行中","")))))</calculatedColumnFormula>
    </tableColumn>
    <tableColumn id="7" xr3:uid="{AE7239B8-4E8F-47AB-9268-C9AB87D2E95F}" name="預計完成日" dataDxfId="24"/>
    <tableColumn id="8" xr3:uid="{8BE22D3D-1454-4387-954C-D21B22063D9C}" name="實際完成日" dataDxfId="23"/>
    <tableColumn id="9" xr3:uid="{014A88C5-793E-44F7-83DA-2B157CA34A9A}" name="內部Uat確認" dataDxfId="22"/>
    <tableColumn id="15" xr3:uid="{2A093FE6-D6E8-4B0C-B871-294BF78392FF}" name="部版版號" dataDxfId="21"/>
    <tableColumn id="14" xr3:uid="{086FC3CD-EECF-4310-A039-85B3ED8CF0CD}" name="客戶UAT日" dataDxfId="20"/>
    <tableColumn id="10" xr3:uid="{903E005F-549A-4A80-8FEC-A987212DFA75}" name="客戶確認日" dataDxfId="19"/>
    <tableColumn id="11" xr3:uid="{83C3B3BD-2522-45B4-BBA1-230F823774D9}" name="備註" dataDxfId="1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93CEF5-4641-4BBD-BF80-703A994BC60E}" name="表格6_3" displayName="表格6_3" ref="A2:K19" totalsRowShown="0" headerRowDxfId="15" dataDxfId="14" headerRowBorderDxfId="12" tableBorderDxfId="13" totalsRowBorderDxfId="11">
  <autoFilter ref="A2:K19" xr:uid="{4A93CEF5-4641-4BBD-BF80-703A994BC60E}"/>
  <tableColumns count="11">
    <tableColumn id="1" xr3:uid="{BFA9E93A-0C48-434E-8308-9201AB061D6C}" name="編號" dataDxfId="10">
      <calculatedColumnFormula>IF(B3="","",ROW()-2)</calculatedColumnFormula>
    </tableColumn>
    <tableColumn id="4" xr3:uid="{2AA8B1C8-8CB6-4304-888D-301441D1962D}" name="需求說明" dataDxfId="9"/>
    <tableColumn id="5" xr3:uid="{4CAED1A7-66A9-481F-A6A2-C68EFC36764F}" name="處理人員" dataDxfId="8"/>
    <tableColumn id="6" xr3:uid="{804CDB59-6427-4C7F-BEF8-78B45C225CC3}" name="狀態" dataDxfId="7">
      <calculatedColumnFormula>IF($J3&lt;&gt;"","已確認",IF($G3&lt;&gt;"","Uat已完成",IF($F3&lt;&gt;"","修改完成",IF(AND(TODAY()&gt;$E3,$E3&lt;&gt;""),"已逾期",IF(AND(TODAY()&lt;=$E3,$E3&lt;&gt;""),"進行中","")))))</calculatedColumnFormula>
    </tableColumn>
    <tableColumn id="7" xr3:uid="{91335AF2-A31C-400B-8D38-6CB7DB341A8F}" name="預計完成日" dataDxfId="6"/>
    <tableColumn id="8" xr3:uid="{1468C2F2-11AB-4EC6-8880-2054F37C463B}" name="實際完成日" dataDxfId="5"/>
    <tableColumn id="9" xr3:uid="{805C06B2-1377-47EA-9D58-9B3B6F897035}" name="內部確認" dataDxfId="4"/>
    <tableColumn id="15" xr3:uid="{BC7DE44E-B7B3-4EDA-9C10-53384768CDA0}" name="部版版號" dataDxfId="3"/>
    <tableColumn id="14" xr3:uid="{271E0E26-DF5D-4043-B243-6F7AC5EBFBBF}" name="客戶UAT日" dataDxfId="2"/>
    <tableColumn id="10" xr3:uid="{93B7036C-2039-40F0-9D30-86A5F20DC2B9}" name="客戶確認" dataDxfId="1"/>
    <tableColumn id="11" xr3:uid="{47B8BB1A-C155-4CBB-A4AC-E3E8E68EFF35}" name="備註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8C7C-E387-4321-BAC6-891CA1BD15AF}">
  <dimension ref="A1:N6"/>
  <sheetViews>
    <sheetView workbookViewId="0">
      <selection activeCell="E14" sqref="E14:E15"/>
    </sheetView>
  </sheetViews>
  <sheetFormatPr defaultColWidth="8.875" defaultRowHeight="16.5"/>
  <cols>
    <col min="1" max="1" width="6.875" style="33" bestFit="1" customWidth="1"/>
    <col min="2" max="2" width="14.625" style="33" bestFit="1" customWidth="1"/>
    <col min="3" max="5" width="15.375" style="33" customWidth="1"/>
    <col min="6" max="6" width="29" style="33" customWidth="1"/>
    <col min="7" max="7" width="39.875" style="33" customWidth="1"/>
    <col min="8" max="8" width="25.875" style="33" customWidth="1"/>
    <col min="9" max="16384" width="8.875" style="33"/>
  </cols>
  <sheetData>
    <row r="1" spans="1:14" s="39" customFormat="1">
      <c r="A1" s="55" t="s">
        <v>0</v>
      </c>
      <c r="B1" s="56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34"/>
      <c r="J1" s="34"/>
      <c r="K1" s="35"/>
      <c r="L1" s="36"/>
      <c r="M1" s="37"/>
      <c r="N1" s="38"/>
    </row>
    <row r="2" spans="1:14" s="40" customFormat="1" ht="19.5">
      <c r="A2" s="51">
        <v>1</v>
      </c>
      <c r="B2" s="52" t="s">
        <v>8</v>
      </c>
      <c r="C2" s="64">
        <v>46178</v>
      </c>
      <c r="D2" s="64">
        <v>46178</v>
      </c>
      <c r="E2" s="64">
        <v>46178</v>
      </c>
      <c r="F2" s="53"/>
      <c r="G2" s="51"/>
      <c r="H2" s="54"/>
    </row>
    <row r="3" spans="1:14" s="40" customFormat="1" ht="19.5">
      <c r="A3" s="51">
        <v>2</v>
      </c>
      <c r="B3" s="52" t="s">
        <v>9</v>
      </c>
      <c r="C3" s="64">
        <v>46181</v>
      </c>
      <c r="D3" s="64">
        <v>46185</v>
      </c>
      <c r="E3" s="64">
        <v>46191</v>
      </c>
      <c r="F3" s="53"/>
      <c r="G3" s="51"/>
      <c r="H3" s="54"/>
    </row>
    <row r="4" spans="1:14" s="40" customFormat="1" ht="19.5">
      <c r="A4" s="51">
        <v>3</v>
      </c>
      <c r="B4" s="52" t="s">
        <v>10</v>
      </c>
      <c r="C4" s="64">
        <v>46188</v>
      </c>
      <c r="D4" s="64">
        <v>46213</v>
      </c>
      <c r="E4" s="64">
        <v>46210</v>
      </c>
      <c r="F4" s="53"/>
      <c r="G4" s="51"/>
      <c r="H4" s="54"/>
    </row>
    <row r="5" spans="1:14" s="40" customFormat="1" ht="19.5">
      <c r="A5" s="51">
        <v>4</v>
      </c>
      <c r="B5" s="52" t="s">
        <v>11</v>
      </c>
      <c r="C5" s="64">
        <v>46216</v>
      </c>
      <c r="D5" s="64">
        <v>46227</v>
      </c>
      <c r="E5" s="64"/>
      <c r="F5" s="54"/>
      <c r="G5" s="51"/>
      <c r="H5" s="54"/>
    </row>
    <row r="6" spans="1:14" s="40" customFormat="1" ht="19.5">
      <c r="A6" s="51">
        <v>5</v>
      </c>
      <c r="B6" s="52" t="s">
        <v>12</v>
      </c>
      <c r="C6" s="64">
        <v>46230</v>
      </c>
      <c r="D6" s="64">
        <v>46230</v>
      </c>
      <c r="E6" s="64"/>
      <c r="F6" s="53"/>
      <c r="G6" s="51"/>
      <c r="H6" s="54"/>
    </row>
  </sheetData>
  <protectedRanges>
    <protectedRange sqref="C4:D4 C5:C6 D6" name="開發項目_2"/>
    <protectedRange sqref="D5" name="開發項目_1_1"/>
  </protectedRange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041E-B194-4F68-ABD3-6BF76CF5AA45}">
  <sheetPr>
    <tabColor rgb="FFFFFF00"/>
  </sheetPr>
  <dimension ref="A1:O48"/>
  <sheetViews>
    <sheetView tabSelected="1" topLeftCell="B1" zoomScale="90" zoomScaleNormal="90" workbookViewId="0">
      <pane ySplit="1" topLeftCell="A9" activePane="bottomLeft" state="frozen"/>
      <selection pane="bottomLeft" activeCell="L5" sqref="L5"/>
    </sheetView>
  </sheetViews>
  <sheetFormatPr defaultColWidth="8.875" defaultRowHeight="16.5"/>
  <cols>
    <col min="1" max="1" width="12.625" bestFit="1" customWidth="1"/>
    <col min="2" max="2" width="14.5" bestFit="1" customWidth="1"/>
    <col min="3" max="3" width="48.5" customWidth="1"/>
    <col min="4" max="4" width="17.125" bestFit="1" customWidth="1"/>
    <col min="5" max="5" width="38.25" bestFit="1" customWidth="1"/>
    <col min="6" max="9" width="12.25" customWidth="1"/>
    <col min="10" max="13" width="14.375" customWidth="1"/>
    <col min="14" max="14" width="14.875" bestFit="1" customWidth="1"/>
    <col min="15" max="15" width="12.625" bestFit="1" customWidth="1"/>
  </cols>
  <sheetData>
    <row r="1" spans="1:15" ht="31.5">
      <c r="A1" s="19" t="s">
        <v>0</v>
      </c>
      <c r="B1" s="27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58" t="s">
        <v>21</v>
      </c>
      <c r="K1" s="58" t="s">
        <v>22</v>
      </c>
      <c r="L1" s="58" t="s">
        <v>23</v>
      </c>
      <c r="M1" s="58" t="s">
        <v>24</v>
      </c>
      <c r="N1" s="23" t="s">
        <v>5</v>
      </c>
      <c r="O1" s="7" t="s">
        <v>25</v>
      </c>
    </row>
    <row r="2" spans="1:15" s="47" customFormat="1">
      <c r="A2" s="43">
        <f>IF(C2="","",ROW()-1)</f>
        <v>1</v>
      </c>
      <c r="B2" s="44">
        <v>1</v>
      </c>
      <c r="C2" s="22" t="s">
        <v>26</v>
      </c>
      <c r="D2" s="41">
        <v>0.5</v>
      </c>
      <c r="E2" s="1" t="s">
        <v>27</v>
      </c>
      <c r="F2" s="45">
        <v>46178</v>
      </c>
      <c r="G2" s="45">
        <v>46178</v>
      </c>
      <c r="H2" s="45">
        <v>46178</v>
      </c>
      <c r="I2" s="45">
        <v>46178</v>
      </c>
      <c r="J2" s="60"/>
      <c r="K2" s="60">
        <v>1.5</v>
      </c>
      <c r="L2" s="60"/>
      <c r="M2" s="60"/>
      <c r="N2" s="46"/>
      <c r="O2" s="73" t="s">
        <v>28</v>
      </c>
    </row>
    <row r="3" spans="1:15" s="47" customFormat="1">
      <c r="A3" s="69">
        <f t="shared" ref="A3:A48" si="0">IF(C3="","",ROW()-1)</f>
        <v>2</v>
      </c>
      <c r="B3" s="70">
        <v>2</v>
      </c>
      <c r="C3" s="65" t="s">
        <v>29</v>
      </c>
      <c r="D3" s="66">
        <f>SUM(D4:D6)</f>
        <v>3.5</v>
      </c>
      <c r="E3" s="67"/>
      <c r="F3" s="15"/>
      <c r="G3" s="17"/>
      <c r="H3" s="15"/>
      <c r="I3" s="15"/>
      <c r="J3" s="61"/>
      <c r="K3" s="61"/>
      <c r="L3" s="61"/>
      <c r="M3" s="61"/>
      <c r="N3" s="46"/>
      <c r="O3" s="73"/>
    </row>
    <row r="4" spans="1:15" ht="31.5">
      <c r="A4" s="43">
        <f t="shared" si="0"/>
        <v>3</v>
      </c>
      <c r="B4" s="29">
        <v>2.1</v>
      </c>
      <c r="C4" s="22" t="s">
        <v>30</v>
      </c>
      <c r="D4" s="1">
        <v>0.5</v>
      </c>
      <c r="E4" s="68" t="s">
        <v>31</v>
      </c>
      <c r="F4" s="71">
        <v>46178</v>
      </c>
      <c r="G4" s="71">
        <v>46178</v>
      </c>
      <c r="H4" s="15">
        <v>46178</v>
      </c>
      <c r="I4" s="15">
        <v>46178</v>
      </c>
      <c r="J4" s="61"/>
      <c r="K4" s="61">
        <v>0.5</v>
      </c>
      <c r="L4" s="61"/>
      <c r="M4" s="61"/>
      <c r="N4" s="24"/>
      <c r="O4" s="73" t="s">
        <v>32</v>
      </c>
    </row>
    <row r="5" spans="1:15" ht="99">
      <c r="A5" s="43">
        <f t="shared" si="0"/>
        <v>4</v>
      </c>
      <c r="B5" s="29">
        <v>2.2000000000000002</v>
      </c>
      <c r="C5" s="20" t="s">
        <v>33</v>
      </c>
      <c r="D5" s="1">
        <v>2</v>
      </c>
      <c r="E5" s="1" t="s">
        <v>34</v>
      </c>
      <c r="F5" s="15">
        <v>46181</v>
      </c>
      <c r="G5" s="17">
        <v>46185</v>
      </c>
      <c r="H5" s="15">
        <v>46175</v>
      </c>
      <c r="I5" s="15">
        <v>46183</v>
      </c>
      <c r="J5" s="61"/>
      <c r="K5" s="61">
        <v>13</v>
      </c>
      <c r="L5" s="61"/>
      <c r="M5" s="61"/>
      <c r="N5" s="24"/>
      <c r="O5" s="74" t="s">
        <v>35</v>
      </c>
    </row>
    <row r="6" spans="1:15">
      <c r="A6" s="43">
        <f t="shared" si="0"/>
        <v>5</v>
      </c>
      <c r="B6" s="29" t="s">
        <v>36</v>
      </c>
      <c r="C6" s="20" t="s">
        <v>37</v>
      </c>
      <c r="D6" s="1">
        <v>1</v>
      </c>
      <c r="E6" s="1" t="s">
        <v>38</v>
      </c>
      <c r="F6" s="15">
        <v>46181</v>
      </c>
      <c r="G6" s="17">
        <v>46185</v>
      </c>
      <c r="H6" s="15">
        <v>46183</v>
      </c>
      <c r="I6" s="17">
        <v>46185</v>
      </c>
      <c r="J6" s="62"/>
      <c r="K6" s="62"/>
      <c r="L6" s="62"/>
      <c r="M6" s="62"/>
      <c r="N6" s="24"/>
      <c r="O6" s="73"/>
    </row>
    <row r="7" spans="1:15">
      <c r="A7" s="43">
        <f t="shared" si="0"/>
        <v>6</v>
      </c>
      <c r="B7" s="29" t="s">
        <v>39</v>
      </c>
      <c r="C7" s="20" t="s">
        <v>40</v>
      </c>
      <c r="D7" s="1">
        <v>0.5</v>
      </c>
      <c r="E7" s="1" t="s">
        <v>38</v>
      </c>
      <c r="F7" s="15">
        <v>46181</v>
      </c>
      <c r="G7" s="17">
        <v>46185</v>
      </c>
      <c r="H7" s="15">
        <v>46183</v>
      </c>
      <c r="I7" s="17">
        <v>46191</v>
      </c>
      <c r="J7" s="62"/>
      <c r="K7" s="62"/>
      <c r="L7" s="62"/>
      <c r="M7" s="62"/>
      <c r="N7" s="24"/>
      <c r="O7" s="73"/>
    </row>
    <row r="8" spans="1:15">
      <c r="A8" s="69">
        <f t="shared" si="0"/>
        <v>7</v>
      </c>
      <c r="B8" s="70">
        <v>3</v>
      </c>
      <c r="C8" s="65" t="s">
        <v>41</v>
      </c>
      <c r="D8" s="66">
        <f>SUM(D9:D18)</f>
        <v>10.5</v>
      </c>
      <c r="E8" s="66"/>
      <c r="F8" s="42"/>
      <c r="G8" s="50"/>
      <c r="H8" s="17"/>
      <c r="I8" s="17"/>
      <c r="J8" s="62"/>
      <c r="K8" s="62"/>
      <c r="L8" s="62"/>
      <c r="M8" s="62"/>
      <c r="N8" s="24"/>
      <c r="O8" s="73"/>
    </row>
    <row r="9" spans="1:15" ht="49.5">
      <c r="A9" s="43">
        <f t="shared" si="0"/>
        <v>8</v>
      </c>
      <c r="B9" s="29">
        <v>3.1</v>
      </c>
      <c r="C9" s="20" t="s">
        <v>42</v>
      </c>
      <c r="D9" s="1">
        <v>1.5</v>
      </c>
      <c r="E9" s="1" t="s">
        <v>43</v>
      </c>
      <c r="F9" s="15">
        <v>46188</v>
      </c>
      <c r="G9" s="17">
        <v>46190</v>
      </c>
      <c r="H9" s="17">
        <v>46185</v>
      </c>
      <c r="I9" s="17">
        <v>46190</v>
      </c>
      <c r="J9" s="62"/>
      <c r="K9" s="62"/>
      <c r="L9" s="62">
        <v>11</v>
      </c>
      <c r="M9" s="62"/>
      <c r="N9" s="24"/>
      <c r="O9" s="74" t="s">
        <v>44</v>
      </c>
    </row>
    <row r="10" spans="1:15">
      <c r="A10" s="59">
        <f t="shared" ref="A10:A13" si="1">IF(C10="","",ROW()-1)</f>
        <v>9</v>
      </c>
      <c r="B10" s="29">
        <v>3.2</v>
      </c>
      <c r="C10" s="20" t="s">
        <v>45</v>
      </c>
      <c r="D10" s="1">
        <v>1</v>
      </c>
      <c r="E10" s="1" t="s">
        <v>43</v>
      </c>
      <c r="F10" s="15">
        <v>46191</v>
      </c>
      <c r="G10" s="15">
        <v>46195</v>
      </c>
      <c r="H10" s="17">
        <v>46191</v>
      </c>
      <c r="I10" s="17">
        <v>46191</v>
      </c>
      <c r="J10" s="62"/>
      <c r="K10" s="62"/>
      <c r="L10" s="62"/>
      <c r="M10" s="62"/>
      <c r="N10" s="24"/>
      <c r="O10" s="73" t="s">
        <v>46</v>
      </c>
    </row>
    <row r="11" spans="1:15" ht="33">
      <c r="A11" s="59">
        <f t="shared" si="1"/>
        <v>10</v>
      </c>
      <c r="B11" s="29">
        <v>3.3</v>
      </c>
      <c r="C11" s="20" t="s">
        <v>47</v>
      </c>
      <c r="D11" s="1">
        <v>1</v>
      </c>
      <c r="E11" s="1" t="s">
        <v>43</v>
      </c>
      <c r="F11" s="15">
        <v>46195</v>
      </c>
      <c r="G11" s="15">
        <v>46196</v>
      </c>
      <c r="H11" s="17">
        <v>46191</v>
      </c>
      <c r="I11" s="17">
        <v>46195</v>
      </c>
      <c r="J11" s="62"/>
      <c r="K11" s="62"/>
      <c r="L11" s="62"/>
      <c r="M11" s="62"/>
      <c r="N11" s="24"/>
      <c r="O11" s="74" t="s">
        <v>48</v>
      </c>
    </row>
    <row r="12" spans="1:15">
      <c r="A12" s="59">
        <f t="shared" si="1"/>
        <v>11</v>
      </c>
      <c r="B12" s="29">
        <v>3.4</v>
      </c>
      <c r="C12" s="20" t="s">
        <v>49</v>
      </c>
      <c r="D12" s="1">
        <v>0.5</v>
      </c>
      <c r="E12" s="1" t="s">
        <v>43</v>
      </c>
      <c r="F12" s="15">
        <v>46197</v>
      </c>
      <c r="G12" s="15">
        <v>46197</v>
      </c>
      <c r="H12" s="17">
        <v>46196</v>
      </c>
      <c r="I12" s="17">
        <v>46196</v>
      </c>
      <c r="J12" s="62"/>
      <c r="K12" s="62"/>
      <c r="L12" s="62"/>
      <c r="M12" s="62"/>
      <c r="N12" s="24"/>
      <c r="O12" s="73" t="s">
        <v>50</v>
      </c>
    </row>
    <row r="13" spans="1:15">
      <c r="A13" s="59">
        <f t="shared" si="1"/>
        <v>12</v>
      </c>
      <c r="B13" s="29">
        <v>3.5</v>
      </c>
      <c r="C13" s="20" t="s">
        <v>51</v>
      </c>
      <c r="D13" s="1">
        <v>0.5</v>
      </c>
      <c r="E13" s="1" t="s">
        <v>43</v>
      </c>
      <c r="F13" s="15">
        <v>46198</v>
      </c>
      <c r="G13" s="15">
        <v>46198</v>
      </c>
      <c r="H13" s="17">
        <v>46196</v>
      </c>
      <c r="I13" s="17">
        <v>46196</v>
      </c>
      <c r="J13" s="62"/>
      <c r="K13" s="62"/>
      <c r="L13" s="62"/>
      <c r="M13" s="62"/>
      <c r="N13" s="24"/>
      <c r="O13" s="73" t="s">
        <v>50</v>
      </c>
    </row>
    <row r="14" spans="1:15" ht="49.5">
      <c r="A14" s="59">
        <f t="shared" ref="A14:A15" si="2">IF(C14="","",ROW()-1)</f>
        <v>13</v>
      </c>
      <c r="B14" s="29">
        <v>3.6</v>
      </c>
      <c r="C14" s="20" t="s">
        <v>52</v>
      </c>
      <c r="D14" s="1">
        <v>2</v>
      </c>
      <c r="E14" s="1" t="s">
        <v>43</v>
      </c>
      <c r="F14" s="15">
        <v>46199</v>
      </c>
      <c r="G14" s="15">
        <v>46203</v>
      </c>
      <c r="H14" s="17">
        <v>46196</v>
      </c>
      <c r="I14" s="17">
        <v>46210</v>
      </c>
      <c r="J14" s="62"/>
      <c r="K14" s="62"/>
      <c r="L14" s="62"/>
      <c r="M14" s="62"/>
      <c r="N14" s="24"/>
      <c r="O14" s="74" t="s">
        <v>53</v>
      </c>
    </row>
    <row r="15" spans="1:15">
      <c r="A15" s="59">
        <f t="shared" si="2"/>
        <v>14</v>
      </c>
      <c r="B15" s="29">
        <v>3.7</v>
      </c>
      <c r="C15" s="20" t="s">
        <v>54</v>
      </c>
      <c r="D15" s="1">
        <v>1</v>
      </c>
      <c r="E15" s="1" t="s">
        <v>43</v>
      </c>
      <c r="F15" s="15">
        <v>46204</v>
      </c>
      <c r="G15" s="15">
        <v>46204</v>
      </c>
      <c r="H15" s="17">
        <v>46196</v>
      </c>
      <c r="I15" s="17">
        <v>46196</v>
      </c>
      <c r="J15" s="62"/>
      <c r="K15" s="62"/>
      <c r="L15" s="62"/>
      <c r="M15" s="62"/>
      <c r="N15" s="24"/>
      <c r="O15" s="73" t="s">
        <v>50</v>
      </c>
    </row>
    <row r="16" spans="1:15">
      <c r="A16" s="59">
        <f>IF(C16="","",ROW()-1)</f>
        <v>15</v>
      </c>
      <c r="B16" s="29">
        <v>3.8</v>
      </c>
      <c r="C16" s="20" t="s">
        <v>55</v>
      </c>
      <c r="D16" s="1">
        <v>1</v>
      </c>
      <c r="E16" s="1" t="s">
        <v>43</v>
      </c>
      <c r="F16" s="15">
        <v>46205</v>
      </c>
      <c r="G16" s="15">
        <v>46205</v>
      </c>
      <c r="H16" s="17">
        <v>46196</v>
      </c>
      <c r="I16" s="17">
        <v>46196</v>
      </c>
      <c r="J16" s="62"/>
      <c r="K16" s="62"/>
      <c r="L16" s="62"/>
      <c r="M16" s="62"/>
      <c r="N16" s="24"/>
      <c r="O16" s="73" t="s">
        <v>50</v>
      </c>
    </row>
    <row r="17" spans="1:15" ht="33">
      <c r="A17" s="59">
        <f>IF(C17="","",ROW()-1)</f>
        <v>16</v>
      </c>
      <c r="B17" s="29">
        <v>3.9</v>
      </c>
      <c r="C17" s="20" t="s">
        <v>56</v>
      </c>
      <c r="D17" s="1">
        <v>1</v>
      </c>
      <c r="E17" s="1" t="s">
        <v>43</v>
      </c>
      <c r="F17" s="15">
        <v>46206</v>
      </c>
      <c r="G17" s="15">
        <v>46206</v>
      </c>
      <c r="H17" s="17">
        <v>46196</v>
      </c>
      <c r="I17" s="17">
        <v>46197</v>
      </c>
      <c r="J17" s="62"/>
      <c r="K17" s="62"/>
      <c r="L17" s="62"/>
      <c r="M17" s="62"/>
      <c r="N17" s="24"/>
      <c r="O17" s="74" t="s">
        <v>57</v>
      </c>
    </row>
    <row r="18" spans="1:15" ht="33">
      <c r="A18" s="43">
        <f t="shared" si="0"/>
        <v>17</v>
      </c>
      <c r="B18" s="29" t="s">
        <v>58</v>
      </c>
      <c r="C18" s="20" t="s">
        <v>59</v>
      </c>
      <c r="D18" s="1">
        <v>1</v>
      </c>
      <c r="E18" s="1" t="s">
        <v>43</v>
      </c>
      <c r="F18" s="15">
        <v>46209</v>
      </c>
      <c r="G18" s="15">
        <v>46210</v>
      </c>
      <c r="H18" s="17">
        <v>46202</v>
      </c>
      <c r="I18" s="17">
        <v>46210</v>
      </c>
      <c r="J18" s="62"/>
      <c r="K18" s="62"/>
      <c r="L18" s="62"/>
      <c r="M18" s="62"/>
      <c r="N18" s="24"/>
      <c r="O18" s="74" t="s">
        <v>60</v>
      </c>
    </row>
    <row r="19" spans="1:15">
      <c r="A19" s="69">
        <f t="shared" si="0"/>
        <v>18</v>
      </c>
      <c r="B19" s="72">
        <v>4</v>
      </c>
      <c r="C19" s="65" t="s">
        <v>61</v>
      </c>
      <c r="D19" s="67">
        <f>SUM(D20:D25)</f>
        <v>6</v>
      </c>
      <c r="E19" s="67"/>
      <c r="F19" s="15"/>
      <c r="G19" s="15"/>
      <c r="H19" s="15"/>
      <c r="I19" s="17"/>
      <c r="J19" s="62"/>
      <c r="K19" s="62"/>
      <c r="L19" s="62"/>
      <c r="M19" s="62"/>
      <c r="N19" s="24"/>
      <c r="O19" s="73"/>
    </row>
    <row r="20" spans="1:15" ht="33">
      <c r="A20" s="43">
        <f t="shared" si="0"/>
        <v>19</v>
      </c>
      <c r="B20" s="29" t="s">
        <v>62</v>
      </c>
      <c r="C20" s="20" t="s">
        <v>63</v>
      </c>
      <c r="D20" s="1">
        <v>0.5</v>
      </c>
      <c r="E20" s="1" t="s">
        <v>43</v>
      </c>
      <c r="F20" s="15">
        <v>46211</v>
      </c>
      <c r="G20" s="17">
        <v>46213</v>
      </c>
      <c r="H20" s="17">
        <v>46219</v>
      </c>
      <c r="I20" s="17">
        <v>46219</v>
      </c>
      <c r="J20" s="62"/>
      <c r="K20" s="62"/>
      <c r="L20" s="62"/>
      <c r="M20" s="62"/>
      <c r="N20" s="24"/>
      <c r="O20" s="74" t="s">
        <v>64</v>
      </c>
    </row>
    <row r="21" spans="1:15" ht="49.5">
      <c r="A21" s="43">
        <f t="shared" si="0"/>
        <v>20</v>
      </c>
      <c r="B21" s="29" t="s">
        <v>65</v>
      </c>
      <c r="C21" s="20" t="s">
        <v>66</v>
      </c>
      <c r="D21" s="1">
        <v>3</v>
      </c>
      <c r="E21" s="68" t="s">
        <v>31</v>
      </c>
      <c r="F21" s="15">
        <v>46216</v>
      </c>
      <c r="G21" s="15">
        <v>46227</v>
      </c>
      <c r="H21" s="17">
        <v>46220</v>
      </c>
      <c r="I21" s="17">
        <v>46253</v>
      </c>
      <c r="J21" s="62"/>
      <c r="K21" s="62">
        <v>2</v>
      </c>
      <c r="L21" s="62"/>
      <c r="M21" s="62"/>
      <c r="N21" s="24"/>
      <c r="O21" s="74" t="s">
        <v>67</v>
      </c>
    </row>
    <row r="22" spans="1:15">
      <c r="A22" s="43">
        <f t="shared" si="0"/>
        <v>21</v>
      </c>
      <c r="B22" s="29">
        <v>5</v>
      </c>
      <c r="C22" s="20" t="s">
        <v>68</v>
      </c>
      <c r="D22" s="1">
        <v>0.5</v>
      </c>
      <c r="E22" s="1" t="s">
        <v>69</v>
      </c>
      <c r="F22" s="15">
        <v>46230</v>
      </c>
      <c r="G22" s="15">
        <v>46230</v>
      </c>
      <c r="H22" s="17">
        <v>46254</v>
      </c>
      <c r="I22" s="17">
        <v>46254</v>
      </c>
      <c r="J22" s="62"/>
      <c r="K22" s="62"/>
      <c r="L22" s="62"/>
      <c r="M22" s="62"/>
      <c r="N22" s="24"/>
      <c r="O22" s="73"/>
    </row>
    <row r="23" spans="1:15" ht="31.5">
      <c r="A23" s="43">
        <f t="shared" si="0"/>
        <v>22</v>
      </c>
      <c r="B23" s="11">
        <v>6</v>
      </c>
      <c r="C23" s="20" t="s">
        <v>70</v>
      </c>
      <c r="D23" s="1">
        <v>0.5</v>
      </c>
      <c r="E23" s="68" t="s">
        <v>71</v>
      </c>
      <c r="F23" s="15">
        <v>46230</v>
      </c>
      <c r="G23" s="15">
        <v>46230</v>
      </c>
      <c r="H23" s="17">
        <v>46254</v>
      </c>
      <c r="I23" s="17">
        <v>46254</v>
      </c>
      <c r="J23" s="62"/>
      <c r="K23" s="62"/>
      <c r="L23" s="62"/>
      <c r="M23" s="62"/>
      <c r="N23" s="24"/>
      <c r="O23" s="73"/>
    </row>
    <row r="24" spans="1:15">
      <c r="A24" s="43">
        <f t="shared" si="0"/>
        <v>23</v>
      </c>
      <c r="B24" s="11">
        <v>7</v>
      </c>
      <c r="C24" s="20" t="s">
        <v>72</v>
      </c>
      <c r="D24" s="1">
        <v>0.5</v>
      </c>
      <c r="E24" s="1" t="s">
        <v>34</v>
      </c>
      <c r="F24" s="15">
        <v>46230</v>
      </c>
      <c r="G24" s="15">
        <v>46234</v>
      </c>
      <c r="H24" s="17">
        <v>46255</v>
      </c>
      <c r="I24" s="17">
        <v>46266</v>
      </c>
      <c r="J24" s="62"/>
      <c r="K24" s="62"/>
      <c r="L24" s="62"/>
      <c r="M24" s="62"/>
      <c r="N24" s="24"/>
      <c r="O24" s="73"/>
    </row>
    <row r="25" spans="1:15">
      <c r="A25" s="43">
        <f t="shared" si="0"/>
        <v>24</v>
      </c>
      <c r="B25" s="11">
        <v>8</v>
      </c>
      <c r="C25" s="22" t="s">
        <v>73</v>
      </c>
      <c r="D25" s="1">
        <v>1</v>
      </c>
      <c r="E25" s="68" t="s">
        <v>74</v>
      </c>
      <c r="F25" s="15">
        <v>46230</v>
      </c>
      <c r="G25" s="15">
        <v>46254</v>
      </c>
      <c r="H25" s="17">
        <v>46266</v>
      </c>
      <c r="I25" s="17">
        <v>46266</v>
      </c>
      <c r="J25" s="62"/>
      <c r="K25" s="62"/>
      <c r="L25" s="62"/>
      <c r="M25" s="62"/>
      <c r="N25" s="24"/>
      <c r="O25" s="73"/>
    </row>
    <row r="26" spans="1:15">
      <c r="A26" s="43" t="str">
        <f t="shared" si="0"/>
        <v/>
      </c>
      <c r="B26" s="29"/>
      <c r="C26" s="20"/>
      <c r="D26" s="1"/>
      <c r="E26" s="1"/>
      <c r="F26" s="15"/>
      <c r="G26" s="48"/>
      <c r="H26" s="17"/>
      <c r="I26" s="48"/>
      <c r="J26" s="62"/>
      <c r="K26" s="62"/>
      <c r="L26" s="62"/>
      <c r="M26" s="62"/>
      <c r="N26" s="24"/>
      <c r="O26" s="73"/>
    </row>
    <row r="27" spans="1:15">
      <c r="A27" s="43" t="str">
        <f t="shared" si="0"/>
        <v/>
      </c>
      <c r="B27" s="49"/>
      <c r="C27" s="20"/>
      <c r="D27" s="1"/>
      <c r="E27" s="1"/>
      <c r="F27" s="15"/>
      <c r="G27" s="48"/>
      <c r="H27" s="17"/>
      <c r="I27" s="48"/>
      <c r="J27" s="62"/>
      <c r="K27" s="62"/>
      <c r="L27" s="62"/>
      <c r="M27" s="62"/>
      <c r="N27" s="24"/>
      <c r="O27" s="73"/>
    </row>
    <row r="28" spans="1:15">
      <c r="A28" s="43" t="str">
        <f t="shared" si="0"/>
        <v/>
      </c>
      <c r="B28" s="29"/>
      <c r="C28" s="20"/>
      <c r="D28" s="1"/>
      <c r="E28" s="1"/>
      <c r="F28" s="15"/>
      <c r="G28" s="48"/>
      <c r="H28" s="17"/>
      <c r="I28" s="48"/>
      <c r="J28" s="62"/>
      <c r="K28" s="62"/>
      <c r="L28" s="62"/>
      <c r="M28" s="62"/>
      <c r="N28" s="24"/>
      <c r="O28" s="73"/>
    </row>
    <row r="29" spans="1:15">
      <c r="A29" s="43" t="str">
        <f t="shared" si="0"/>
        <v/>
      </c>
      <c r="B29" s="29"/>
      <c r="C29" s="22"/>
      <c r="D29" s="1"/>
      <c r="E29" s="1"/>
      <c r="F29" s="15"/>
      <c r="G29" s="15"/>
      <c r="H29" s="15"/>
      <c r="I29" s="17"/>
      <c r="J29" s="62"/>
      <c r="K29" s="62"/>
      <c r="L29" s="62"/>
      <c r="M29" s="62"/>
      <c r="N29" s="24"/>
      <c r="O29" s="73"/>
    </row>
    <row r="30" spans="1:15">
      <c r="A30" s="43" t="str">
        <f t="shared" si="0"/>
        <v/>
      </c>
      <c r="B30" s="29"/>
      <c r="C30" s="20"/>
      <c r="D30" s="1"/>
      <c r="E30" s="1"/>
      <c r="F30" s="15"/>
      <c r="G30" s="15"/>
      <c r="H30" s="15"/>
      <c r="I30" s="15"/>
      <c r="J30" s="61"/>
      <c r="K30" s="61"/>
      <c r="L30" s="61"/>
      <c r="M30" s="61"/>
      <c r="N30" s="24"/>
      <c r="O30" s="73"/>
    </row>
    <row r="31" spans="1:15">
      <c r="A31" s="43" t="str">
        <f t="shared" si="0"/>
        <v/>
      </c>
      <c r="B31" s="29"/>
      <c r="C31" s="20"/>
      <c r="D31" s="1"/>
      <c r="E31" s="1"/>
      <c r="F31" s="15"/>
      <c r="G31" s="15"/>
      <c r="H31" s="15"/>
      <c r="I31" s="15"/>
      <c r="J31" s="61"/>
      <c r="K31" s="61"/>
      <c r="L31" s="61"/>
      <c r="M31" s="61"/>
      <c r="N31" s="24"/>
      <c r="O31" s="73"/>
    </row>
    <row r="32" spans="1:15">
      <c r="A32" s="59" t="str">
        <f>IF(C32="","",ROW()-1)</f>
        <v/>
      </c>
      <c r="B32" s="29"/>
      <c r="C32" s="20"/>
      <c r="D32" s="1"/>
      <c r="E32" s="1"/>
      <c r="F32" s="15"/>
      <c r="G32" s="15"/>
      <c r="H32" s="17"/>
      <c r="I32" s="17"/>
      <c r="J32" s="62"/>
      <c r="K32" s="62"/>
      <c r="L32" s="62"/>
      <c r="M32" s="62"/>
      <c r="N32" s="24"/>
      <c r="O32" s="73"/>
    </row>
    <row r="33" spans="1:15">
      <c r="A33" s="59" t="str">
        <f>IF(C33="","",ROW()-1)</f>
        <v/>
      </c>
      <c r="B33" s="29"/>
      <c r="C33" s="20"/>
      <c r="D33" s="1"/>
      <c r="E33" s="1"/>
      <c r="F33" s="15"/>
      <c r="G33" s="15"/>
      <c r="H33" s="17"/>
      <c r="I33" s="17"/>
      <c r="J33" s="62"/>
      <c r="K33" s="62"/>
      <c r="L33" s="62"/>
      <c r="M33" s="62"/>
      <c r="N33" s="24"/>
      <c r="O33" s="73"/>
    </row>
    <row r="34" spans="1:15">
      <c r="A34" s="43" t="str">
        <f t="shared" si="0"/>
        <v/>
      </c>
      <c r="B34" s="29"/>
      <c r="C34" s="20"/>
      <c r="D34" s="1"/>
      <c r="E34" s="1"/>
      <c r="F34" s="15"/>
      <c r="G34" s="15"/>
      <c r="H34" s="17"/>
      <c r="I34" s="17"/>
      <c r="J34" s="62"/>
      <c r="K34" s="62"/>
      <c r="L34" s="62"/>
      <c r="M34" s="62"/>
      <c r="N34" s="24"/>
      <c r="O34" s="73"/>
    </row>
    <row r="35" spans="1:15">
      <c r="A35" s="43" t="str">
        <f t="shared" si="0"/>
        <v/>
      </c>
      <c r="B35" s="29"/>
      <c r="C35" s="20"/>
      <c r="D35" s="1"/>
      <c r="E35" s="1"/>
      <c r="F35" s="15"/>
      <c r="G35" s="15"/>
      <c r="H35" s="17"/>
      <c r="I35" s="17"/>
      <c r="J35" s="62"/>
      <c r="K35" s="62"/>
      <c r="L35" s="62"/>
      <c r="M35" s="62"/>
      <c r="N35" s="24"/>
      <c r="O35" s="73"/>
    </row>
    <row r="36" spans="1:15">
      <c r="A36" s="43" t="str">
        <f t="shared" si="0"/>
        <v/>
      </c>
      <c r="B36" s="29"/>
      <c r="C36" s="20"/>
      <c r="D36" s="1"/>
      <c r="E36" s="1"/>
      <c r="F36" s="15"/>
      <c r="G36" s="15"/>
      <c r="H36" s="17"/>
      <c r="I36" s="17"/>
      <c r="J36" s="62"/>
      <c r="K36" s="62"/>
      <c r="L36" s="62"/>
      <c r="M36" s="62"/>
      <c r="N36" s="24"/>
      <c r="O36" s="73"/>
    </row>
    <row r="37" spans="1:15">
      <c r="A37" s="43" t="str">
        <f t="shared" si="0"/>
        <v/>
      </c>
      <c r="B37" s="29"/>
      <c r="C37" s="20"/>
      <c r="D37" s="1"/>
      <c r="E37" s="1"/>
      <c r="F37" s="15"/>
      <c r="G37" s="15"/>
      <c r="H37" s="17"/>
      <c r="I37" s="17"/>
      <c r="J37" s="62"/>
      <c r="K37" s="62"/>
      <c r="L37" s="62"/>
      <c r="M37" s="62"/>
      <c r="N37" s="24"/>
      <c r="O37" s="73"/>
    </row>
    <row r="38" spans="1:15">
      <c r="A38" s="43" t="str">
        <f t="shared" si="0"/>
        <v/>
      </c>
      <c r="B38" s="29"/>
      <c r="C38" s="20"/>
      <c r="D38" s="1"/>
      <c r="E38" s="1"/>
      <c r="F38" s="15"/>
      <c r="G38" s="15"/>
      <c r="H38" s="17"/>
      <c r="I38" s="17"/>
      <c r="J38" s="62"/>
      <c r="K38" s="62"/>
      <c r="L38" s="62"/>
      <c r="M38" s="62"/>
      <c r="N38" s="24"/>
      <c r="O38" s="73"/>
    </row>
    <row r="39" spans="1:15">
      <c r="A39" s="43" t="str">
        <f t="shared" si="0"/>
        <v/>
      </c>
      <c r="B39" s="11"/>
      <c r="C39" s="20"/>
      <c r="D39" s="1"/>
      <c r="E39" s="1"/>
      <c r="F39" s="15"/>
      <c r="G39" s="15"/>
      <c r="H39" s="17"/>
      <c r="I39" s="17"/>
      <c r="J39" s="62"/>
      <c r="K39" s="62"/>
      <c r="L39" s="62"/>
      <c r="M39" s="62"/>
      <c r="N39" s="24"/>
      <c r="O39" s="8"/>
    </row>
    <row r="40" spans="1:15">
      <c r="A40" s="43" t="str">
        <f t="shared" si="0"/>
        <v/>
      </c>
      <c r="B40" s="11"/>
      <c r="C40" s="20"/>
      <c r="D40" s="1"/>
      <c r="E40" s="1"/>
      <c r="F40" s="15"/>
      <c r="G40" s="15"/>
      <c r="H40" s="17"/>
      <c r="I40" s="17"/>
      <c r="J40" s="62"/>
      <c r="K40" s="62"/>
      <c r="L40" s="62"/>
      <c r="M40" s="62"/>
      <c r="N40" s="24"/>
      <c r="O40" s="8"/>
    </row>
    <row r="41" spans="1:15">
      <c r="A41" s="43" t="str">
        <f t="shared" si="0"/>
        <v/>
      </c>
      <c r="B41" s="11"/>
      <c r="C41" s="22"/>
      <c r="D41" s="1"/>
      <c r="E41" s="1"/>
      <c r="F41" s="15"/>
      <c r="G41" s="15"/>
      <c r="H41" s="17"/>
      <c r="I41" s="17"/>
      <c r="J41" s="62"/>
      <c r="K41" s="62"/>
      <c r="L41" s="62"/>
      <c r="M41" s="62"/>
      <c r="N41" s="24"/>
      <c r="O41" s="8"/>
    </row>
    <row r="42" spans="1:15">
      <c r="A42" s="43" t="str">
        <f t="shared" si="0"/>
        <v/>
      </c>
      <c r="B42" s="11"/>
      <c r="C42" s="20"/>
      <c r="D42" s="1"/>
      <c r="E42" s="1"/>
      <c r="F42" s="15"/>
      <c r="G42" s="15"/>
      <c r="H42" s="17"/>
      <c r="I42" s="17"/>
      <c r="J42" s="62"/>
      <c r="K42" s="62"/>
      <c r="L42" s="62"/>
      <c r="M42" s="62"/>
      <c r="N42" s="24"/>
      <c r="O42" s="8"/>
    </row>
    <row r="43" spans="1:15">
      <c r="A43" s="43" t="str">
        <f t="shared" si="0"/>
        <v/>
      </c>
      <c r="B43" s="11"/>
      <c r="C43" s="20"/>
      <c r="D43" s="1"/>
      <c r="E43" s="1"/>
      <c r="F43" s="15"/>
      <c r="G43" s="15"/>
      <c r="H43" s="17"/>
      <c r="I43" s="17"/>
      <c r="J43" s="62"/>
      <c r="K43" s="62"/>
      <c r="L43" s="62"/>
      <c r="M43" s="62"/>
      <c r="N43" s="24"/>
      <c r="O43" s="8"/>
    </row>
    <row r="44" spans="1:15">
      <c r="A44" s="43" t="str">
        <f t="shared" si="0"/>
        <v/>
      </c>
      <c r="B44" s="11"/>
      <c r="C44" s="20"/>
      <c r="D44" s="1"/>
      <c r="E44" s="1"/>
      <c r="F44" s="15"/>
      <c r="G44" s="15"/>
      <c r="H44" s="17"/>
      <c r="I44" s="17"/>
      <c r="J44" s="62"/>
      <c r="K44" s="62"/>
      <c r="L44" s="62"/>
      <c r="M44" s="62"/>
      <c r="N44" s="24"/>
      <c r="O44" s="8"/>
    </row>
    <row r="45" spans="1:15">
      <c r="A45" s="43" t="str">
        <f t="shared" si="0"/>
        <v/>
      </c>
      <c r="B45" s="28"/>
      <c r="C45" s="20"/>
      <c r="D45" s="1"/>
      <c r="E45" s="1"/>
      <c r="F45" s="15"/>
      <c r="G45" s="15"/>
      <c r="H45" s="17"/>
      <c r="I45" s="17"/>
      <c r="J45" s="62"/>
      <c r="K45" s="62"/>
      <c r="L45" s="62"/>
      <c r="M45" s="62"/>
      <c r="N45" s="24"/>
      <c r="O45" s="8"/>
    </row>
    <row r="46" spans="1:15">
      <c r="A46" s="43" t="str">
        <f t="shared" si="0"/>
        <v/>
      </c>
      <c r="B46" s="28"/>
      <c r="C46" s="20"/>
      <c r="D46" s="1"/>
      <c r="E46" s="1"/>
      <c r="F46" s="15"/>
      <c r="G46" s="15"/>
      <c r="H46" s="17"/>
      <c r="I46" s="17"/>
      <c r="J46" s="62"/>
      <c r="K46" s="62"/>
      <c r="L46" s="62"/>
      <c r="M46" s="62"/>
      <c r="N46" s="24"/>
      <c r="O46" s="8"/>
    </row>
    <row r="47" spans="1:15">
      <c r="A47" s="43" t="str">
        <f t="shared" si="0"/>
        <v/>
      </c>
      <c r="B47" s="28"/>
      <c r="C47" s="20"/>
      <c r="D47" s="1"/>
      <c r="E47" s="1"/>
      <c r="F47" s="15"/>
      <c r="G47" s="15"/>
      <c r="H47" s="17"/>
      <c r="I47" s="17"/>
      <c r="J47" s="62"/>
      <c r="K47" s="62"/>
      <c r="L47" s="62"/>
      <c r="M47" s="62"/>
      <c r="N47" s="24"/>
      <c r="O47" s="8"/>
    </row>
    <row r="48" spans="1:15">
      <c r="A48" s="43" t="str">
        <f t="shared" si="0"/>
        <v/>
      </c>
      <c r="B48" s="26"/>
      <c r="C48" s="21"/>
      <c r="D48" s="9"/>
      <c r="E48" s="9"/>
      <c r="F48" s="16"/>
      <c r="G48" s="16"/>
      <c r="H48" s="18"/>
      <c r="I48" s="18"/>
      <c r="J48" s="63"/>
      <c r="K48" s="63"/>
      <c r="L48" s="63"/>
      <c r="M48" s="63"/>
      <c r="N48" s="25"/>
      <c r="O48" s="10"/>
    </row>
  </sheetData>
  <protectedRanges>
    <protectedRange sqref="D45:E47 B45:B47 B48:O48 P41:XFD47 F42:O47" name="開發項目"/>
    <protectedRange sqref="D41:E41 B2:B4 P20:XFD40 C29:D29 D26:D28 C26 C28 F39:O41 D30:D40 N31:N37 F31:H37 F26:N30 J20:N25 B26:B41 B8:B18 F38:N38" name="開發項目_1"/>
    <protectedRange sqref="E26:E40" name="開發項目_6_1"/>
    <protectedRange sqref="F8:G8 C19:D19 H18:I18 F19:I19 D20:D25 H20:H21 C17:C18 I20 H22:I25" name="開發項目_1_1"/>
    <protectedRange sqref="E2:E25" name="開發項目_6_1_1"/>
    <protectedRange sqref="B19:B25" name="開發項目_1_2"/>
  </protectedRanges>
  <phoneticPr fontId="1" type="noConversion"/>
  <conditionalFormatting sqref="A2:B2 B3 A3:A48">
    <cfRule type="expression" dxfId="92" priority="446">
      <formula>AND(#REF!="",$H2&lt;&gt;"",TODAY()&gt;$H2)</formula>
    </cfRule>
  </conditionalFormatting>
  <conditionalFormatting sqref="A2:B2 B3:B18 A3:A48 C26:N40 B26:B41 E26:E41 F42:N44 B45:B47 D45:N47 B48:N48 D41:N41 J2:N25">
    <cfRule type="expression" dxfId="91" priority="447">
      <formula>#REF!&lt;&gt;""</formula>
    </cfRule>
  </conditionalFormatting>
  <conditionalFormatting sqref="B4:B33">
    <cfRule type="expression" dxfId="90" priority="12">
      <formula>AND($H4="",$G4&lt;&gt;"",TODAY()&gt;$G4)</formula>
    </cfRule>
  </conditionalFormatting>
  <conditionalFormatting sqref="B19:B25">
    <cfRule type="expression" dxfId="89" priority="13">
      <formula>#REF!&lt;&gt;""</formula>
    </cfRule>
  </conditionalFormatting>
  <conditionalFormatting sqref="C26:C28 F30:G33 B34:M37 F38:G38 B38:B41 F42:G44 B45:B47 D45:G47 B48:G48">
    <cfRule type="expression" dxfId="88" priority="442">
      <formula>AND($H26="",$G26&lt;&gt;"",TODAY()&gt;$G26)</formula>
    </cfRule>
  </conditionalFormatting>
  <conditionalFormatting sqref="C36:C37">
    <cfRule type="expression" dxfId="87" priority="39">
      <formula>AND($H36="",$G36&lt;&gt;"",TODAY()&gt;$G36)</formula>
    </cfRule>
  </conditionalFormatting>
  <conditionalFormatting sqref="C19:H19 C20:D22 C23:G24 D25:G25">
    <cfRule type="expression" dxfId="86" priority="30">
      <formula>AND($H19="",$G19&lt;&gt;"",TODAY()&gt;$G19)</formula>
    </cfRule>
  </conditionalFormatting>
  <conditionalFormatting sqref="C2:I2 C3:H3 E4:E5">
    <cfRule type="expression" dxfId="85" priority="32">
      <formula>AND(#REF!="",$H2&lt;&gt;"",TODAY()&gt;$H2)</formula>
    </cfRule>
  </conditionalFormatting>
  <conditionalFormatting sqref="C2:I17 C18:D24 D25 E18:I25">
    <cfRule type="expression" dxfId="84" priority="33">
      <formula>#REF!&lt;&gt;""</formula>
    </cfRule>
  </conditionalFormatting>
  <conditionalFormatting sqref="D26:D28 C29:H29 C30:E33 C38:D38 C39:G40 D41:G41">
    <cfRule type="expression" dxfId="83" priority="302">
      <formula>AND($H26="",$G26&lt;&gt;"",TODAY()&gt;$G26)</formula>
    </cfRule>
  </conditionalFormatting>
  <conditionalFormatting sqref="E2:E16 I3:I5 F4:G5 C4:D16 H5 F6:I7 F8:G16 C17:G17 C18:D18 F18:G18 E18:E41 H19 F22:G22 F20:I21">
    <cfRule type="expression" dxfId="82" priority="31">
      <formula>AND($H2="",$G2&lt;&gt;"",TODAY()&gt;$G2)</formula>
    </cfRule>
  </conditionalFormatting>
  <conditionalFormatting sqref="E7">
    <cfRule type="expression" dxfId="81" priority="20">
      <formula>AND(#REF!="",$H7&lt;&gt;"",TODAY()&gt;$H7)</formula>
    </cfRule>
  </conditionalFormatting>
  <conditionalFormatting sqref="E21">
    <cfRule type="expression" dxfId="80" priority="11">
      <formula>AND(#REF!="",$H21&lt;&gt;"",TODAY()&gt;$H21)</formula>
    </cfRule>
  </conditionalFormatting>
  <conditionalFormatting sqref="E23:E25">
    <cfRule type="expression" dxfId="79" priority="9">
      <formula>AND(#REF!="",$H23&lt;&gt;"",TODAY()&gt;$H23)</formula>
    </cfRule>
  </conditionalFormatting>
  <conditionalFormatting sqref="F3">
    <cfRule type="expression" dxfId="78" priority="27">
      <formula>AND($H3="",$G3&lt;&gt;"",TODAY()&gt;$G3)</formula>
    </cfRule>
  </conditionalFormatting>
  <conditionalFormatting sqref="F8:F16">
    <cfRule type="expression" dxfId="77" priority="29">
      <formula>AND($H8="",$G8&lt;&gt;"",TODAY()&gt;$G8)</formula>
    </cfRule>
  </conditionalFormatting>
  <conditionalFormatting sqref="F19">
    <cfRule type="expression" dxfId="76" priority="22">
      <formula>AND($H19="",$G19&lt;&gt;"",TODAY()&gt;$G19)</formula>
    </cfRule>
  </conditionalFormatting>
  <conditionalFormatting sqref="F23:F25">
    <cfRule type="expression" dxfId="75" priority="4">
      <formula>AND($H23="",$G23&lt;&gt;"",TODAY()&gt;$G23)</formula>
    </cfRule>
  </conditionalFormatting>
  <conditionalFormatting sqref="F29">
    <cfRule type="expression" dxfId="74" priority="56">
      <formula>AND($H29="",$G29&lt;&gt;"",TODAY()&gt;$G29)</formula>
    </cfRule>
  </conditionalFormatting>
  <conditionalFormatting sqref="F31:F33">
    <cfRule type="expression" dxfId="73" priority="78">
      <formula>AND($H31="",$G31&lt;&gt;"",TODAY()&gt;$G31)</formula>
    </cfRule>
  </conditionalFormatting>
  <conditionalFormatting sqref="F4:G4">
    <cfRule type="expression" dxfId="72" priority="14">
      <formula>AND(#REF!="",$H4&lt;&gt;"",TODAY()&gt;$H4)</formula>
    </cfRule>
  </conditionalFormatting>
  <conditionalFormatting sqref="F25:G28">
    <cfRule type="expression" dxfId="71" priority="15">
      <formula>AND($H25="",$G25&lt;&gt;"",TODAY()&gt;$G25)</formula>
    </cfRule>
  </conditionalFormatting>
  <conditionalFormatting sqref="G3">
    <cfRule type="expression" dxfId="70" priority="26">
      <formula>AND($H3="",$G3&lt;&gt;"",TODAY()&gt;$G3)</formula>
    </cfRule>
  </conditionalFormatting>
  <conditionalFormatting sqref="G8:G16">
    <cfRule type="expression" dxfId="69" priority="1">
      <formula>AND($H8="",$G8&lt;&gt;"",TODAY()&gt;$G8)</formula>
    </cfRule>
  </conditionalFormatting>
  <conditionalFormatting sqref="G19">
    <cfRule type="expression" dxfId="68" priority="21">
      <formula>AND($H19="",$G19&lt;&gt;"",TODAY()&gt;$G19)</formula>
    </cfRule>
  </conditionalFormatting>
  <conditionalFormatting sqref="G23:G25">
    <cfRule type="expression" dxfId="67" priority="3">
      <formula>AND($H23="",$G23&lt;&gt;"",TODAY()&gt;$G23)</formula>
    </cfRule>
  </conditionalFormatting>
  <conditionalFormatting sqref="G29">
    <cfRule type="expression" dxfId="66" priority="55">
      <formula>AND($H29="",$G29&lt;&gt;"",TODAY()&gt;$G29)</formula>
    </cfRule>
  </conditionalFormatting>
  <conditionalFormatting sqref="H3">
    <cfRule type="expression" dxfId="65" priority="24">
      <formula>AND($H3="",$G3&lt;&gt;"",TODAY()&gt;$G3)</formula>
    </cfRule>
  </conditionalFormatting>
  <conditionalFormatting sqref="H29:H33">
    <cfRule type="expression" dxfId="64" priority="54">
      <formula>AND($H29="",$G29&lt;&gt;"",TODAY()&gt;$G29)</formula>
    </cfRule>
  </conditionalFormatting>
  <conditionalFormatting sqref="H4:I4">
    <cfRule type="expression" dxfId="63" priority="25">
      <formula>AND($H4="",$G4&lt;&gt;"",TODAY()&gt;$G4)</formula>
    </cfRule>
  </conditionalFormatting>
  <conditionalFormatting sqref="H31:M33">
    <cfRule type="expression" dxfId="62" priority="99">
      <formula>AND($H31="",$G31&lt;&gt;"",TODAY()&gt;$G31)</formula>
    </cfRule>
  </conditionalFormatting>
  <conditionalFormatting sqref="I2:I3">
    <cfRule type="expression" dxfId="61" priority="23">
      <formula>AND(#REF!="",$H2&lt;&gt;"",TODAY()&gt;$H2)</formula>
    </cfRule>
  </conditionalFormatting>
  <conditionalFormatting sqref="I26:I28">
    <cfRule type="expression" dxfId="60" priority="40">
      <formula>AND($H26="",$G26&lt;&gt;"",TODAY()&gt;$G26)</formula>
    </cfRule>
  </conditionalFormatting>
  <conditionalFormatting sqref="I30:M30">
    <cfRule type="expression" dxfId="59" priority="80">
      <formula>AND($H30="",$G30&lt;&gt;"",TODAY()&gt;$G30)</formula>
    </cfRule>
  </conditionalFormatting>
  <conditionalFormatting sqref="J2:M3">
    <cfRule type="expression" dxfId="58" priority="93">
      <formula>AND(#REF!="",$H2&lt;&gt;"",TODAY()&gt;$H2)</formula>
    </cfRule>
  </conditionalFormatting>
  <conditionalFormatting sqref="J3:M17">
    <cfRule type="expression" dxfId="57" priority="91">
      <formula>AND($H3="",$G3&lt;&gt;"",TODAY()&gt;$G3)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DEFD-BB22-4975-BE4E-7A98AB44F4E7}">
  <sheetPr codeName="工作表10"/>
  <dimension ref="A1:O18"/>
  <sheetViews>
    <sheetView zoomScaleNormal="100" workbookViewId="0">
      <pane xSplit="5" ySplit="1" topLeftCell="I2" activePane="bottomRight" state="frozen"/>
      <selection pane="bottomRight" activeCell="K7" sqref="K7"/>
      <selection pane="bottomLeft" activeCell="A3" sqref="A3"/>
      <selection pane="topRight" activeCell="F1" sqref="F1"/>
    </sheetView>
  </sheetViews>
  <sheetFormatPr defaultRowHeight="16.5"/>
  <cols>
    <col min="1" max="1" width="7.375" customWidth="1"/>
    <col min="2" max="2" width="11.875" customWidth="1"/>
    <col min="3" max="3" width="15.125" customWidth="1"/>
    <col min="4" max="4" width="10.125" customWidth="1"/>
    <col min="5" max="5" width="60.875" customWidth="1"/>
    <col min="6" max="6" width="71.875" customWidth="1"/>
    <col min="7" max="7" width="9.875" bestFit="1" customWidth="1"/>
    <col min="8" max="8" width="10.5" customWidth="1"/>
    <col min="9" max="10" width="14.375" bestFit="1" customWidth="1"/>
    <col min="11" max="11" width="15.5" customWidth="1"/>
    <col min="12" max="12" width="17.125" bestFit="1" customWidth="1"/>
    <col min="13" max="13" width="15.5" customWidth="1"/>
    <col min="14" max="14" width="14.375" bestFit="1" customWidth="1"/>
    <col min="15" max="15" width="46.125" customWidth="1"/>
  </cols>
  <sheetData>
    <row r="1" spans="1:15" ht="21" customHeight="1">
      <c r="A1" s="2" t="s">
        <v>0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  <c r="I1" s="3" t="s">
        <v>18</v>
      </c>
      <c r="J1" s="3" t="s">
        <v>4</v>
      </c>
      <c r="K1" s="3" t="s">
        <v>82</v>
      </c>
      <c r="L1" s="3" t="s">
        <v>83</v>
      </c>
      <c r="M1" s="32" t="s">
        <v>84</v>
      </c>
      <c r="N1" s="32" t="s">
        <v>85</v>
      </c>
      <c r="O1" s="5" t="s">
        <v>25</v>
      </c>
    </row>
    <row r="2" spans="1:15" ht="47.25">
      <c r="A2" s="11">
        <f t="shared" ref="A2:A18" si="0">IF(E2="","",ROW()-1)</f>
        <v>1</v>
      </c>
      <c r="B2" s="1" t="s">
        <v>86</v>
      </c>
      <c r="C2" s="14">
        <v>46218</v>
      </c>
      <c r="D2" s="1" t="s">
        <v>87</v>
      </c>
      <c r="E2" s="20" t="s">
        <v>88</v>
      </c>
      <c r="F2" s="31" t="s">
        <v>89</v>
      </c>
      <c r="G2" s="1" t="s">
        <v>69</v>
      </c>
      <c r="H2" s="12" t="str">
        <f ca="1">IF($N2&lt;&gt;"","已確認",IF($K2&lt;&gt;"","Uat已完成",IF($J2&lt;&gt;"","修改完成",IF(AND(TODAY()&gt;$I2,$I2&lt;&gt;""),"已逾期",IF(AND(TODAY()&lt;=$I2,$I2&lt;&gt;""),"進行中","")))))</f>
        <v>Uat已完成</v>
      </c>
      <c r="I2" s="15">
        <v>46219</v>
      </c>
      <c r="J2" s="15">
        <v>46218</v>
      </c>
      <c r="K2" s="15">
        <v>46218</v>
      </c>
      <c r="L2" s="15"/>
      <c r="M2" s="15"/>
      <c r="N2" s="30"/>
      <c r="O2" s="4" t="s">
        <v>90</v>
      </c>
    </row>
    <row r="3" spans="1:15" ht="31.5">
      <c r="A3" s="11">
        <f t="shared" si="0"/>
        <v>2</v>
      </c>
      <c r="B3" s="1" t="s">
        <v>86</v>
      </c>
      <c r="C3" s="14">
        <v>46218</v>
      </c>
      <c r="D3" s="1" t="s">
        <v>91</v>
      </c>
      <c r="E3" s="20" t="s">
        <v>92</v>
      </c>
      <c r="F3" s="31"/>
      <c r="G3" s="1" t="s">
        <v>69</v>
      </c>
      <c r="H3" s="12" t="str">
        <f t="shared" ref="H3" ca="1" si="1">IF($N3&lt;&gt;"","已確認",IF($K3&lt;&gt;"","Uat已完成",IF($J3&lt;&gt;"","修改完成",IF(AND(TODAY()&gt;$I3,$I3&lt;&gt;""),"已逾期",IF(AND(TODAY()&lt;=$I3,$I3&lt;&gt;""),"進行中","")))))</f>
        <v>Uat已完成</v>
      </c>
      <c r="I3" s="15">
        <v>46219</v>
      </c>
      <c r="J3" s="15">
        <v>46218</v>
      </c>
      <c r="K3" s="15">
        <v>46218</v>
      </c>
      <c r="L3" s="15"/>
      <c r="M3" s="15"/>
      <c r="N3" s="30"/>
      <c r="O3" s="4" t="s">
        <v>93</v>
      </c>
    </row>
    <row r="4" spans="1:15" ht="31.5">
      <c r="A4" s="11">
        <f>IF(E4="","",ROW()-1)</f>
        <v>3</v>
      </c>
      <c r="B4" s="1" t="s">
        <v>86</v>
      </c>
      <c r="C4" s="14">
        <v>46218</v>
      </c>
      <c r="D4" s="1" t="s">
        <v>87</v>
      </c>
      <c r="E4" s="20" t="s">
        <v>94</v>
      </c>
      <c r="F4" s="31"/>
      <c r="G4" s="1" t="s">
        <v>69</v>
      </c>
      <c r="H4" s="12" t="str">
        <f ca="1">IF($N4&lt;&gt;"","已確認",IF($K4&lt;&gt;"","Uat已完成",IF($J4&lt;&gt;"","修改完成",IF(AND(TODAY()&gt;$I4,$I4&lt;&gt;""),"已逾期",IF(AND(TODAY()&lt;=$I4,$I4&lt;&gt;""),"進行中","")))))</f>
        <v>Uat已完成</v>
      </c>
      <c r="I4" s="15">
        <v>46219</v>
      </c>
      <c r="J4" s="15">
        <v>46218</v>
      </c>
      <c r="K4" s="15">
        <v>46218</v>
      </c>
      <c r="L4" s="15"/>
      <c r="M4" s="15"/>
      <c r="N4" s="30"/>
      <c r="O4" s="4" t="s">
        <v>90</v>
      </c>
    </row>
    <row r="5" spans="1:15">
      <c r="A5" s="11">
        <f>IF(E5="","",ROW()-1)</f>
        <v>4</v>
      </c>
      <c r="B5" s="1" t="s">
        <v>43</v>
      </c>
      <c r="C5" s="14">
        <v>46219</v>
      </c>
      <c r="D5" s="1" t="s">
        <v>87</v>
      </c>
      <c r="E5" s="20" t="s">
        <v>95</v>
      </c>
      <c r="F5" s="31"/>
      <c r="G5" s="1" t="s">
        <v>69</v>
      </c>
      <c r="H5" s="12" t="str">
        <f t="shared" ref="H5:H10" ca="1" si="2">IF($N5&lt;&gt;"","已確認",IF($K5&lt;&gt;"","Uat已完成",IF($J5&lt;&gt;"","修改完成",IF(AND(TODAY()&gt;$I5,$I5&lt;&gt;""),"已逾期",IF(AND(TODAY()&lt;=$I5,$I5&lt;&gt;""),"進行中","")))))</f>
        <v>Uat已完成</v>
      </c>
      <c r="I5" s="15">
        <v>46223</v>
      </c>
      <c r="J5" s="15">
        <v>46223</v>
      </c>
      <c r="K5" s="15">
        <v>46232</v>
      </c>
      <c r="L5" s="15"/>
      <c r="M5" s="15"/>
      <c r="N5" s="30"/>
      <c r="O5" s="4" t="s">
        <v>96</v>
      </c>
    </row>
    <row r="6" spans="1:15" ht="47.25">
      <c r="A6" s="11">
        <f t="shared" si="0"/>
        <v>5</v>
      </c>
      <c r="B6" s="1" t="s">
        <v>97</v>
      </c>
      <c r="C6" s="14">
        <v>46225</v>
      </c>
      <c r="D6" s="1" t="s">
        <v>91</v>
      </c>
      <c r="E6" s="20" t="s">
        <v>98</v>
      </c>
      <c r="F6" s="31"/>
      <c r="G6" s="1" t="s">
        <v>69</v>
      </c>
      <c r="H6" s="12" t="str">
        <f t="shared" ca="1" si="2"/>
        <v>Uat已完成</v>
      </c>
      <c r="I6" s="15">
        <v>46230</v>
      </c>
      <c r="J6" s="15">
        <v>46230</v>
      </c>
      <c r="K6" s="15">
        <v>46232</v>
      </c>
      <c r="L6" s="15"/>
      <c r="M6" s="15"/>
      <c r="N6" s="30"/>
      <c r="O6" s="4" t="s">
        <v>99</v>
      </c>
    </row>
    <row r="7" spans="1:15">
      <c r="A7" s="11">
        <f t="shared" si="0"/>
        <v>6</v>
      </c>
      <c r="B7" s="1" t="s">
        <v>43</v>
      </c>
      <c r="C7" s="14">
        <v>46232</v>
      </c>
      <c r="D7" s="1" t="s">
        <v>87</v>
      </c>
      <c r="E7" s="20" t="s">
        <v>100</v>
      </c>
      <c r="F7" s="31"/>
      <c r="G7" s="1" t="s">
        <v>69</v>
      </c>
      <c r="H7" s="12" t="str">
        <f t="shared" ca="1" si="2"/>
        <v>Uat已完成</v>
      </c>
      <c r="I7" s="15">
        <v>46232</v>
      </c>
      <c r="J7" s="15">
        <v>46232</v>
      </c>
      <c r="K7" s="15">
        <v>46232</v>
      </c>
      <c r="L7" s="15"/>
      <c r="M7" s="15"/>
      <c r="N7" s="30"/>
      <c r="O7" s="4" t="s">
        <v>101</v>
      </c>
    </row>
    <row r="8" spans="1:15">
      <c r="A8" s="11" t="str">
        <f t="shared" si="0"/>
        <v/>
      </c>
      <c r="B8" s="1"/>
      <c r="C8" s="14"/>
      <c r="D8" s="1"/>
      <c r="E8" s="20"/>
      <c r="F8" s="31"/>
      <c r="G8" s="1"/>
      <c r="H8" s="12" t="str">
        <f t="shared" ca="1" si="2"/>
        <v/>
      </c>
      <c r="I8" s="15"/>
      <c r="J8" s="15"/>
      <c r="K8" s="15"/>
      <c r="L8" s="15"/>
      <c r="M8" s="15"/>
      <c r="N8" s="30"/>
      <c r="O8" s="4"/>
    </row>
    <row r="9" spans="1:15">
      <c r="A9" s="11" t="str">
        <f t="shared" si="0"/>
        <v/>
      </c>
      <c r="B9" s="1"/>
      <c r="C9" s="14"/>
      <c r="D9" s="1"/>
      <c r="E9" s="20"/>
      <c r="F9" s="31"/>
      <c r="G9" s="1"/>
      <c r="H9" s="12" t="str">
        <f t="shared" ca="1" si="2"/>
        <v/>
      </c>
      <c r="I9" s="15"/>
      <c r="J9" s="15"/>
      <c r="K9" s="15"/>
      <c r="L9" s="15"/>
      <c r="M9" s="15"/>
      <c r="N9" s="30"/>
      <c r="O9" s="4"/>
    </row>
    <row r="10" spans="1:15">
      <c r="A10" s="11" t="str">
        <f t="shared" si="0"/>
        <v/>
      </c>
      <c r="B10" s="1"/>
      <c r="C10" s="14"/>
      <c r="D10" s="1"/>
      <c r="E10" s="20"/>
      <c r="F10" s="31"/>
      <c r="G10" s="1"/>
      <c r="H10" s="12" t="str">
        <f t="shared" ca="1" si="2"/>
        <v/>
      </c>
      <c r="I10" s="15"/>
      <c r="J10" s="15"/>
      <c r="K10" s="15"/>
      <c r="L10" s="15"/>
      <c r="M10" s="15"/>
      <c r="N10" s="30"/>
      <c r="O10" s="4"/>
    </row>
    <row r="11" spans="1:15">
      <c r="A11" s="11" t="str">
        <f t="shared" si="0"/>
        <v/>
      </c>
      <c r="B11" s="1"/>
      <c r="C11" s="14"/>
      <c r="D11" s="1"/>
      <c r="E11" s="20"/>
      <c r="F11" s="20"/>
      <c r="G11" s="1"/>
      <c r="H11" s="12" t="str">
        <f ca="1">IF($N11&lt;&gt;"","已確認",IF($K11&lt;&gt;"","Uat已完成",IF($J11&lt;&gt;"","修改完成",IF(AND(TODAY()&gt;$I11,$I11&lt;&gt;""),"已逾期",IF(AND(TODAY()&lt;=$I11,$I11&lt;&gt;""),"進行中","")))))</f>
        <v/>
      </c>
      <c r="I11" s="15"/>
      <c r="J11" s="15"/>
      <c r="K11" s="15"/>
      <c r="L11" s="15"/>
      <c r="M11" s="15"/>
      <c r="N11" s="30"/>
      <c r="O11" s="4"/>
    </row>
    <row r="12" spans="1:15">
      <c r="A12" s="11" t="str">
        <f t="shared" si="0"/>
        <v/>
      </c>
      <c r="B12" s="1"/>
      <c r="C12" s="14"/>
      <c r="D12" s="1"/>
      <c r="E12" s="20"/>
      <c r="F12" s="20"/>
      <c r="G12" s="1"/>
      <c r="H12" s="12" t="str">
        <f ca="1">IF($N12&lt;&gt;"","已確認",IF($K12&lt;&gt;"","Uat已完成",IF($J12&lt;&gt;"","修改完成",IF(AND(TODAY()&gt;$I12,$I12&lt;&gt;""),"已逾期",IF(AND(TODAY()&lt;=$I12,$I12&lt;&gt;""),"進行中","")))))</f>
        <v/>
      </c>
      <c r="I12" s="15"/>
      <c r="J12" s="15"/>
      <c r="K12" s="15"/>
      <c r="L12" s="15"/>
      <c r="M12" s="15"/>
      <c r="N12" s="30"/>
      <c r="O12" s="4"/>
    </row>
    <row r="13" spans="1:15">
      <c r="A13" s="11" t="str">
        <f t="shared" si="0"/>
        <v/>
      </c>
      <c r="B13" s="1"/>
      <c r="C13" s="14"/>
      <c r="D13" s="1"/>
      <c r="E13" s="20"/>
      <c r="F13" s="20"/>
      <c r="G13" s="1"/>
      <c r="H13" s="12" t="str">
        <f ca="1">IF($N13&lt;&gt;"","已確認",IF($K13&lt;&gt;"","Uat已完成",IF($J13&lt;&gt;"","修改完成",IF(AND(TODAY()&gt;$I13,$I13&lt;&gt;""),"已逾期",IF(AND(TODAY()&lt;=$I13,$I13&lt;&gt;""),"進行中","")))))</f>
        <v/>
      </c>
      <c r="I13" s="15"/>
      <c r="J13" s="15"/>
      <c r="K13" s="15"/>
      <c r="L13" s="15"/>
      <c r="M13" s="15"/>
      <c r="N13" s="30"/>
      <c r="O13" s="4"/>
    </row>
    <row r="14" spans="1:15">
      <c r="A14" s="11" t="str">
        <f t="shared" si="0"/>
        <v/>
      </c>
      <c r="B14" s="1"/>
      <c r="C14" s="14"/>
      <c r="D14" s="1"/>
      <c r="E14" s="20"/>
      <c r="F14" s="20"/>
      <c r="G14" s="1"/>
      <c r="H14" s="12" t="str">
        <f t="shared" ref="H14" ca="1" si="3">IF($N14&lt;&gt;"","已確認",IF($K14&lt;&gt;"","Uat已完成",IF($J14&lt;&gt;"","修改完成",IF(AND(TODAY()&gt;$I14,$I14&lt;&gt;""),"已逾期",IF(AND(TODAY()&lt;=$I14,$I14&lt;&gt;""),"進行中","")))))</f>
        <v/>
      </c>
      <c r="I14" s="15"/>
      <c r="J14" s="15"/>
      <c r="K14" s="15"/>
      <c r="L14" s="15"/>
      <c r="M14" s="15"/>
      <c r="N14" s="30"/>
      <c r="O14" s="4"/>
    </row>
    <row r="15" spans="1:15">
      <c r="A15" s="11" t="str">
        <f t="shared" si="0"/>
        <v/>
      </c>
      <c r="B15" s="1"/>
      <c r="C15" s="14"/>
      <c r="D15" s="1"/>
      <c r="E15" s="20"/>
      <c r="F15" s="20"/>
      <c r="G15" s="1"/>
      <c r="H15" s="12" t="str">
        <f t="shared" ref="H15" ca="1" si="4">IF($N15&lt;&gt;"","已確認",IF($K15&lt;&gt;"","Uat已完成",IF($J15&lt;&gt;"","修改完成",IF(AND(TODAY()&gt;$I15,$I15&lt;&gt;""),"已逾期",IF(AND(TODAY()&lt;=$I15,$I15&lt;&gt;""),"進行中","")))))</f>
        <v/>
      </c>
      <c r="I15" s="15"/>
      <c r="J15" s="15"/>
      <c r="K15" s="15"/>
      <c r="L15" s="15"/>
      <c r="M15" s="15"/>
      <c r="N15" s="30"/>
      <c r="O15" s="4"/>
    </row>
    <row r="16" spans="1:15">
      <c r="A16" s="11" t="str">
        <f t="shared" si="0"/>
        <v/>
      </c>
      <c r="B16" s="1"/>
      <c r="C16" s="14"/>
      <c r="D16" s="1"/>
      <c r="E16" s="20"/>
      <c r="F16" s="20"/>
      <c r="G16" s="1"/>
      <c r="H16" s="12" t="str">
        <f ca="1">IF($N16&lt;&gt;"","已確認",IF($K16&lt;&gt;"","Uat已完成",IF($J16&lt;&gt;"","修改完成",IF(AND(TODAY()&gt;$I16,$I16&lt;&gt;""),"已逾期",IF(AND(TODAY()&lt;=$I16,$I16&lt;&gt;""),"進行中","")))))</f>
        <v/>
      </c>
      <c r="I16" s="15"/>
      <c r="J16" s="15"/>
      <c r="K16" s="15"/>
      <c r="L16" s="15"/>
      <c r="M16" s="15"/>
      <c r="N16" s="30"/>
      <c r="O16" s="4"/>
    </row>
    <row r="17" spans="1:15">
      <c r="A17" s="11" t="str">
        <f t="shared" si="0"/>
        <v/>
      </c>
      <c r="B17" s="1"/>
      <c r="C17" s="14"/>
      <c r="D17" s="1"/>
      <c r="E17" s="20"/>
      <c r="F17" s="20"/>
      <c r="G17" s="1"/>
      <c r="H17" s="12" t="str">
        <f t="shared" ref="H17:H18" ca="1" si="5">IF($N17&lt;&gt;"","已確認",IF($K17&lt;&gt;"","Uat已完成",IF($J17&lt;&gt;"","修改完成",IF(AND(TODAY()&gt;$I17,$I17&lt;&gt;""),"已逾期",IF(AND(TODAY()&lt;=$I17,$I17&lt;&gt;""),"進行中","")))))</f>
        <v/>
      </c>
      <c r="I17" s="15"/>
      <c r="J17" s="15"/>
      <c r="K17" s="15"/>
      <c r="L17" s="15"/>
      <c r="M17" s="15"/>
      <c r="N17" s="30"/>
      <c r="O17" s="4"/>
    </row>
    <row r="18" spans="1:15">
      <c r="A18" s="11" t="str">
        <f t="shared" si="0"/>
        <v/>
      </c>
      <c r="B18" s="1"/>
      <c r="C18" s="14"/>
      <c r="D18" s="1"/>
      <c r="E18" s="20"/>
      <c r="F18" s="20"/>
      <c r="G18" s="1"/>
      <c r="H18" s="12" t="str">
        <f t="shared" ca="1" si="5"/>
        <v/>
      </c>
      <c r="I18" s="15"/>
      <c r="J18" s="15"/>
      <c r="K18" s="15"/>
      <c r="L18" s="15"/>
      <c r="M18" s="15"/>
      <c r="N18" s="30"/>
      <c r="O18" s="4"/>
    </row>
  </sheetData>
  <protectedRanges>
    <protectedRange sqref="A2:A3 B3:O3 B2:XFD2 A4:O4 A5:H5 K5:O5 A6:O18" name="議題單"/>
    <protectedRange sqref="I5:J5" name="議題單_1"/>
  </protectedRanges>
  <phoneticPr fontId="1" type="noConversion"/>
  <conditionalFormatting sqref="A2:O18">
    <cfRule type="expression" dxfId="39" priority="5">
      <formula>$H2="已逾期"</formula>
    </cfRule>
    <cfRule type="expression" dxfId="38" priority="6">
      <formula>$H2="已確認"</formula>
    </cfRule>
  </conditionalFormatting>
  <dataValidations count="1">
    <dataValidation type="list" allowBlank="1" showInputMessage="1" showErrorMessage="1" sqref="D2:D18" xr:uid="{4A577928-80DA-486B-A930-BB424D79D2A8}">
      <formula1>"Bug,議題"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72D6-A755-4C68-98F5-9BC73C36EB71}">
  <dimension ref="A1:A18"/>
  <sheetViews>
    <sheetView topLeftCell="A12" workbookViewId="0">
      <selection activeCell="K25" sqref="K25"/>
    </sheetView>
  </sheetViews>
  <sheetFormatPr defaultRowHeight="16.5"/>
  <sheetData>
    <row r="1" spans="1:1" ht="32.25">
      <c r="A1" s="75">
        <v>2</v>
      </c>
    </row>
    <row r="18" spans="1:1" ht="32.25">
      <c r="A18" s="75">
        <v>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CD3F-05B5-4DA2-8DFB-53793D7B27AE}">
  <sheetPr>
    <tabColor rgb="FFFFFF00"/>
  </sheetPr>
  <dimension ref="A1:K19"/>
  <sheetViews>
    <sheetView workbookViewId="0">
      <selection activeCell="F11" sqref="F11"/>
    </sheetView>
  </sheetViews>
  <sheetFormatPr defaultRowHeight="16.5"/>
  <cols>
    <col min="2" max="2" width="16" bestFit="1" customWidth="1"/>
    <col min="3" max="3" width="14.875" bestFit="1" customWidth="1"/>
    <col min="5" max="6" width="17.375" bestFit="1" customWidth="1"/>
    <col min="7" max="7" width="19.125" bestFit="1" customWidth="1"/>
    <col min="8" max="8" width="14.875" bestFit="1" customWidth="1"/>
    <col min="9" max="9" width="17.5" bestFit="1" customWidth="1"/>
    <col min="10" max="10" width="17.375" bestFit="1" customWidth="1"/>
    <col min="11" max="11" width="16.625" bestFit="1" customWidth="1"/>
  </cols>
  <sheetData>
    <row r="1" spans="1:11" ht="17.25" thickBot="1">
      <c r="A1" s="13" t="s">
        <v>102</v>
      </c>
      <c r="B1" s="76"/>
      <c r="C1" s="77"/>
      <c r="D1" s="13" t="s">
        <v>102</v>
      </c>
    </row>
    <row r="2" spans="1:11" ht="21" customHeight="1">
      <c r="A2" s="2" t="s">
        <v>103</v>
      </c>
      <c r="B2" s="3" t="s">
        <v>78</v>
      </c>
      <c r="C2" s="3" t="s">
        <v>104</v>
      </c>
      <c r="D2" s="3" t="s">
        <v>81</v>
      </c>
      <c r="E2" s="3" t="s">
        <v>105</v>
      </c>
      <c r="F2" s="3" t="s">
        <v>4</v>
      </c>
      <c r="G2" s="3" t="s">
        <v>106</v>
      </c>
      <c r="H2" s="3" t="s">
        <v>83</v>
      </c>
      <c r="I2" s="32" t="s">
        <v>84</v>
      </c>
      <c r="J2" s="32" t="s">
        <v>107</v>
      </c>
      <c r="K2" s="5" t="s">
        <v>25</v>
      </c>
    </row>
    <row r="3" spans="1:11">
      <c r="A3" s="11">
        <f>IF(B3="","",ROW()-2)</f>
        <v>1</v>
      </c>
      <c r="B3" t="s">
        <v>108</v>
      </c>
      <c r="C3" s="1" t="s">
        <v>109</v>
      </c>
      <c r="D3" s="12" t="str">
        <f t="shared" ref="D3:D19" ca="1" si="0">IF($J3&lt;&gt;"","已確認",IF($G3&lt;&gt;"","Uat已完成",IF($F3&lt;&gt;"","修改完成",IF(AND(TODAY()&gt;$E3,$E3&lt;&gt;""),"已逾期",IF(AND(TODAY()&lt;=$E3,$E3&lt;&gt;""),"進行中","")))))</f>
        <v/>
      </c>
      <c r="E3" s="15"/>
      <c r="F3" s="15"/>
      <c r="G3" s="15"/>
      <c r="H3" s="15"/>
      <c r="I3" s="15"/>
      <c r="J3" s="30"/>
      <c r="K3" s="4" t="s">
        <v>110</v>
      </c>
    </row>
    <row r="4" spans="1:11">
      <c r="A4" s="11">
        <f t="shared" ref="A4:A8" si="1">IF(B4="","",ROW()-2)</f>
        <v>2</v>
      </c>
      <c r="B4" t="s">
        <v>111</v>
      </c>
      <c r="C4" s="1"/>
      <c r="D4" s="12" t="str">
        <f t="shared" ca="1" si="0"/>
        <v/>
      </c>
      <c r="E4" s="15"/>
      <c r="F4" s="15"/>
      <c r="G4" s="15"/>
      <c r="H4" s="15"/>
      <c r="I4" s="15"/>
      <c r="J4" s="30"/>
      <c r="K4" s="4" t="s">
        <v>112</v>
      </c>
    </row>
    <row r="5" spans="1:11">
      <c r="A5" s="11">
        <f>IF(B5="","",ROW()-2)</f>
        <v>3</v>
      </c>
      <c r="B5" t="s">
        <v>113</v>
      </c>
      <c r="C5" s="1"/>
      <c r="D5" s="12" t="str">
        <f t="shared" ca="1" si="0"/>
        <v/>
      </c>
      <c r="E5" s="15"/>
      <c r="F5" s="15"/>
      <c r="G5" s="15"/>
      <c r="H5" s="15"/>
      <c r="I5" s="15"/>
      <c r="J5" s="30"/>
      <c r="K5" s="4" t="s">
        <v>112</v>
      </c>
    </row>
    <row r="6" spans="1:11">
      <c r="A6" s="11">
        <f t="shared" si="1"/>
        <v>4</v>
      </c>
      <c r="B6" t="s">
        <v>114</v>
      </c>
      <c r="C6" s="1"/>
      <c r="D6" s="12" t="str">
        <f t="shared" ca="1" si="0"/>
        <v/>
      </c>
      <c r="E6" s="15"/>
      <c r="F6" s="15"/>
      <c r="G6" s="15"/>
      <c r="H6" s="15"/>
      <c r="I6" s="15"/>
      <c r="J6" s="30"/>
      <c r="K6" s="4" t="s">
        <v>115</v>
      </c>
    </row>
    <row r="7" spans="1:11">
      <c r="A7" s="11">
        <f t="shared" si="1"/>
        <v>5</v>
      </c>
      <c r="B7" t="s">
        <v>116</v>
      </c>
      <c r="C7" s="1"/>
      <c r="D7" s="12" t="str">
        <f t="shared" ca="1" si="0"/>
        <v/>
      </c>
      <c r="E7" s="15"/>
      <c r="F7" s="15"/>
      <c r="G7" s="15"/>
      <c r="H7" s="15"/>
      <c r="I7" s="15"/>
      <c r="J7" s="30"/>
      <c r="K7" s="4" t="s">
        <v>117</v>
      </c>
    </row>
    <row r="8" spans="1:11">
      <c r="A8" s="11">
        <f t="shared" si="1"/>
        <v>6</v>
      </c>
      <c r="B8" t="s">
        <v>118</v>
      </c>
      <c r="C8" s="1"/>
      <c r="D8" s="12" t="str">
        <f t="shared" ca="1" si="0"/>
        <v/>
      </c>
      <c r="E8" s="15"/>
      <c r="F8" s="15"/>
      <c r="G8" s="15"/>
      <c r="H8" s="15"/>
      <c r="I8" s="15"/>
      <c r="J8" s="30"/>
      <c r="K8" s="4" t="s">
        <v>119</v>
      </c>
    </row>
    <row r="9" spans="1:11">
      <c r="A9" s="11" t="str">
        <f t="shared" ref="A9:A19" si="2">IF(B9="","",ROW()-2)</f>
        <v/>
      </c>
      <c r="B9" s="20"/>
      <c r="C9" s="1"/>
      <c r="D9" s="12" t="str">
        <f t="shared" ca="1" si="0"/>
        <v/>
      </c>
      <c r="E9" s="15"/>
      <c r="F9" s="15"/>
      <c r="G9" s="15"/>
      <c r="H9" s="15"/>
      <c r="I9" s="15"/>
      <c r="J9" s="30"/>
      <c r="K9" s="4"/>
    </row>
    <row r="10" spans="1:11">
      <c r="A10" s="11" t="str">
        <f t="shared" si="2"/>
        <v/>
      </c>
      <c r="B10" s="20"/>
      <c r="C10" s="1"/>
      <c r="D10" s="12" t="str">
        <f t="shared" ca="1" si="0"/>
        <v/>
      </c>
      <c r="E10" s="15"/>
      <c r="F10" s="15"/>
      <c r="G10" s="15"/>
      <c r="H10" s="15"/>
      <c r="I10" s="15"/>
      <c r="J10" s="30"/>
      <c r="K10" s="4"/>
    </row>
    <row r="11" spans="1:11">
      <c r="A11" s="11" t="str">
        <f t="shared" si="2"/>
        <v/>
      </c>
      <c r="B11" s="20"/>
      <c r="C11" s="1"/>
      <c r="D11" s="12" t="str">
        <f t="shared" ca="1" si="0"/>
        <v/>
      </c>
      <c r="E11" s="15"/>
      <c r="F11" s="15"/>
      <c r="G11" s="15"/>
      <c r="H11" s="15"/>
      <c r="I11" s="15"/>
      <c r="J11" s="30"/>
      <c r="K11" s="4"/>
    </row>
    <row r="12" spans="1:11">
      <c r="A12" s="11" t="str">
        <f t="shared" si="2"/>
        <v/>
      </c>
      <c r="B12" s="20"/>
      <c r="C12" s="1"/>
      <c r="D12" s="12" t="str">
        <f t="shared" ca="1" si="0"/>
        <v/>
      </c>
      <c r="E12" s="15"/>
      <c r="F12" s="15"/>
      <c r="G12" s="15"/>
      <c r="H12" s="15"/>
      <c r="I12" s="15"/>
      <c r="J12" s="30"/>
      <c r="K12" s="4"/>
    </row>
    <row r="13" spans="1:11">
      <c r="A13" s="11" t="str">
        <f t="shared" si="2"/>
        <v/>
      </c>
      <c r="B13" s="20"/>
      <c r="C13" s="1"/>
      <c r="D13" s="12" t="str">
        <f t="shared" ca="1" si="0"/>
        <v/>
      </c>
      <c r="E13" s="15"/>
      <c r="F13" s="15"/>
      <c r="G13" s="15"/>
      <c r="H13" s="15"/>
      <c r="I13" s="15"/>
      <c r="J13" s="30"/>
      <c r="K13" s="4"/>
    </row>
    <row r="14" spans="1:11">
      <c r="A14" s="11" t="str">
        <f t="shared" si="2"/>
        <v/>
      </c>
      <c r="B14" s="20"/>
      <c r="C14" s="1"/>
      <c r="D14" s="12" t="str">
        <f t="shared" ca="1" si="0"/>
        <v/>
      </c>
      <c r="E14" s="15"/>
      <c r="F14" s="15"/>
      <c r="G14" s="15"/>
      <c r="H14" s="15"/>
      <c r="I14" s="15"/>
      <c r="J14" s="30"/>
      <c r="K14" s="4"/>
    </row>
    <row r="15" spans="1:11">
      <c r="A15" s="11" t="str">
        <f t="shared" si="2"/>
        <v/>
      </c>
      <c r="B15" s="20"/>
      <c r="C15" s="1"/>
      <c r="D15" s="12" t="str">
        <f t="shared" ca="1" si="0"/>
        <v/>
      </c>
      <c r="E15" s="15"/>
      <c r="F15" s="15"/>
      <c r="G15" s="15"/>
      <c r="H15" s="15"/>
      <c r="I15" s="15"/>
      <c r="J15" s="30"/>
      <c r="K15" s="4"/>
    </row>
    <row r="16" spans="1:11">
      <c r="A16" s="11" t="str">
        <f t="shared" si="2"/>
        <v/>
      </c>
      <c r="B16" s="20"/>
      <c r="C16" s="1"/>
      <c r="D16" s="12" t="str">
        <f t="shared" ca="1" si="0"/>
        <v/>
      </c>
      <c r="E16" s="15"/>
      <c r="F16" s="15"/>
      <c r="G16" s="15"/>
      <c r="H16" s="15"/>
      <c r="I16" s="15"/>
      <c r="J16" s="30"/>
      <c r="K16" s="4"/>
    </row>
    <row r="17" spans="1:11">
      <c r="A17" s="11" t="str">
        <f t="shared" si="2"/>
        <v/>
      </c>
      <c r="B17" s="20"/>
      <c r="C17" s="1"/>
      <c r="D17" s="12" t="str">
        <f t="shared" ca="1" si="0"/>
        <v/>
      </c>
      <c r="E17" s="15"/>
      <c r="F17" s="15"/>
      <c r="G17" s="15"/>
      <c r="H17" s="15"/>
      <c r="I17" s="15"/>
      <c r="J17" s="30"/>
      <c r="K17" s="4"/>
    </row>
    <row r="18" spans="1:11">
      <c r="A18" s="11" t="str">
        <f t="shared" si="2"/>
        <v/>
      </c>
      <c r="B18" s="20"/>
      <c r="C18" s="1"/>
      <c r="D18" s="12" t="str">
        <f t="shared" ca="1" si="0"/>
        <v/>
      </c>
      <c r="E18" s="15"/>
      <c r="F18" s="15"/>
      <c r="G18" s="15"/>
      <c r="H18" s="15"/>
      <c r="I18" s="15"/>
      <c r="J18" s="30"/>
      <c r="K18" s="4"/>
    </row>
    <row r="19" spans="1:11">
      <c r="A19" s="11" t="str">
        <f t="shared" si="2"/>
        <v/>
      </c>
      <c r="B19" s="20"/>
      <c r="C19" s="1"/>
      <c r="D19" s="12" t="str">
        <f t="shared" ca="1" si="0"/>
        <v/>
      </c>
      <c r="E19" s="15"/>
      <c r="F19" s="15"/>
      <c r="G19" s="15"/>
      <c r="H19" s="15"/>
      <c r="I19" s="15"/>
      <c r="J19" s="30"/>
      <c r="K19" s="4"/>
    </row>
  </sheetData>
  <protectedRanges>
    <protectedRange sqref="B9:B19 C9:K19 A9:A19 L3:XFD3" name="議題單"/>
    <protectedRange sqref="A3:A8 C3:K8" name="議題單_1"/>
  </protectedRanges>
  <mergeCells count="1">
    <mergeCell ref="B1:C1"/>
  </mergeCells>
  <phoneticPr fontId="1" type="noConversion"/>
  <conditionalFormatting sqref="A3:K19">
    <cfRule type="expression" dxfId="17" priority="1">
      <formula>$D3="已逾期"</formula>
    </cfRule>
    <cfRule type="expression" dxfId="16" priority="2">
      <formula>$D3="已確認"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ca1071-3377-4d57-8947-820131ba626a">
      <Terms xmlns="http://schemas.microsoft.com/office/infopath/2007/PartnerControls"/>
    </lcf76f155ced4ddcb4097134ff3c332f>
    <TaxCatchAll xmlns="7ce5c2e5-daa6-46ff-9caf-d272397adb48" xsi:nil="true"/>
    <_Flow_SignoffStatus xmlns="4eca1071-3377-4d57-8947-820131ba626a" xsi:nil="true"/>
    <Tag xmlns="4eca1071-3377-4d57-8947-820131ba62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42F5527595BEF242B927468CC29553FD" ma:contentTypeVersion="21" ma:contentTypeDescription="建立新的文件。" ma:contentTypeScope="" ma:versionID="8de5b2684acd6dcf92c8be498c761db4">
  <xsd:schema xmlns:xsd="http://www.w3.org/2001/XMLSchema" xmlns:xs="http://www.w3.org/2001/XMLSchema" xmlns:p="http://schemas.microsoft.com/office/2006/metadata/properties" xmlns:ns2="4eca1071-3377-4d57-8947-820131ba626a" xmlns:ns3="7ce5c2e5-daa6-46ff-9caf-d272397adb48" targetNamespace="http://schemas.microsoft.com/office/2006/metadata/properties" ma:root="true" ma:fieldsID="00e0cf1a2a77e5af309d3b2f5b42e366" ns2:_="" ns3:_="">
    <xsd:import namespace="4eca1071-3377-4d57-8947-820131ba626a"/>
    <xsd:import namespace="7ce5c2e5-daa6-46ff-9caf-d272397adb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Flow_SignoffStatus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a1071-3377-4d57-8947-820131ba6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df116a07-4740-49fe-9fb1-88fb0e4751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7" nillable="true" ma:displayName="簽核狀態" ma:internalName="_x0024_Resources_x003a_core_x002c_Signoff_Status">
      <xsd:simpleType>
        <xsd:restriction base="dms:Text"/>
      </xsd:simpleType>
    </xsd:element>
    <xsd:element name="Tag" ma:index="28" nillable="true" ma:displayName="Tag" ma:format="Dropdown" ma:internalName="Tag">
      <xsd:simpleType>
        <xsd:restriction base="dms:Choice">
          <xsd:enumeration value="規格書"/>
          <xsd:enumeration value="選擇 2"/>
          <xsd:enumeration value="選擇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5c2e5-daa6-46ff-9caf-d272397adb4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894ddef-2c30-4bca-af2f-2caebd109d16}" ma:internalName="TaxCatchAll" ma:showField="CatchAllData" ma:web="7ce5c2e5-daa6-46ff-9caf-d272397adb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84BFA0-4D25-404D-8B2B-9E1B0B0A6111}"/>
</file>

<file path=customXml/itemProps2.xml><?xml version="1.0" encoding="utf-8"?>
<ds:datastoreItem xmlns:ds="http://schemas.openxmlformats.org/officeDocument/2006/customXml" ds:itemID="{B604250D-6B73-4818-A2CA-BB7370CC60E7}"/>
</file>

<file path=customXml/itemProps3.xml><?xml version="1.0" encoding="utf-8"?>
<ds:datastoreItem xmlns:ds="http://schemas.openxmlformats.org/officeDocument/2006/customXml" ds:itemID="{8FF92785-64D1-4BF0-91DD-25C0141D76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蕭維德</dc:creator>
  <cp:keywords/>
  <dc:description/>
  <cp:lastModifiedBy/>
  <cp:revision/>
  <dcterms:created xsi:type="dcterms:W3CDTF">2022-08-22T07:22:07Z</dcterms:created>
  <dcterms:modified xsi:type="dcterms:W3CDTF">2026-09-04T08:53:20Z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0x01010042F5527595BEF242B927468CC29553FD</vt:lpwstr>
  </property>
  <property fmtid="{D5CDD505-2E9C-101B-9397-08002B2CF9AE}" pid="3" name="MediaServiceImageTags">
    <vt:lpwstr/>
  </property>
</Properties>
</file>